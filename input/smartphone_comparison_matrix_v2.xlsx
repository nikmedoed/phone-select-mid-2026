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308b31b43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1aea933efaf44443"/>
    <x:sheet xmlns:r="http://schemas.openxmlformats.org/officeDocument/2006/relationships" name="Требования" sheetId="2" r:id="Rbd17effcf6284c55"/>
    <x:sheet xmlns:r="http://schemas.openxmlformats.org/officeDocument/2006/relationships" name="Матрица" sheetId="3" r:id="R25f0ae05fa7d45f8"/>
    <x:sheet xmlns:r="http://schemas.openxmlformats.org/officeDocument/2006/relationships" name="Спеки" sheetId="4" r:id="Rde2a02d3df9d457f"/>
    <x:sheet xmlns:r="http://schemas.openxmlformats.org/officeDocument/2006/relationships" name="Скоринг" sheetId="5" r:id="R15577657164f4a67"/>
    <x:sheet xmlns:r="http://schemas.openxmlformats.org/officeDocument/2006/relationships" name="Риски" sheetId="6" r:id="Rae3febc256914717"/>
    <x:sheet xmlns:r="http://schemas.openxmlformats.org/officeDocument/2006/relationships" name="Чеклист" sheetId="7" r:id="Rd51fb38e028c48f4"/>
    <x:sheet xmlns:r="http://schemas.openxmlformats.org/officeDocument/2006/relationships" name="Источники" sheetId="8" r:id="R3c320dee413044ff"/>
    <x:sheet xmlns:r="http://schemas.openxmlformats.org/officeDocument/2006/relationships" name="Цены UAE" sheetId="9" r:id="R0a7e77662ed843e2"/>
    <x:sheet xmlns:r="http://schemas.openxmlformats.org/officeDocument/2006/relationships" name="UAE источники" sheetId="10" r:id="R6831087868ae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22029cc854e96" /><Relationship Type="http://schemas.openxmlformats.org/officeDocument/2006/relationships/theme" Target="/xl/theme/theme1.xml" Id="R07c3c0fd44214b33" /><Relationship Type="http://schemas.openxmlformats.org/officeDocument/2006/relationships/sharedStrings" Target="/xl/sharedStrings.xml" Id="R24214b15266843bd" /><Relationship Type="http://schemas.openxmlformats.org/officeDocument/2006/relationships/worksheet" Target="/xl/worksheets/sheet1.xml" Id="R1aea933efaf44443" /><Relationship Type="http://schemas.openxmlformats.org/officeDocument/2006/relationships/worksheet" Target="/xl/worksheets/sheet2.xml" Id="Rbd17effcf6284c55" /><Relationship Type="http://schemas.openxmlformats.org/officeDocument/2006/relationships/worksheet" Target="/xl/worksheets/sheet3.xml" Id="R25f0ae05fa7d45f8" /><Relationship Type="http://schemas.openxmlformats.org/officeDocument/2006/relationships/worksheet" Target="/xl/worksheets/sheet4.xml" Id="Rde2a02d3df9d457f" /><Relationship Type="http://schemas.openxmlformats.org/officeDocument/2006/relationships/worksheet" Target="/xl/worksheets/sheet5.xml" Id="R15577657164f4a67" /><Relationship Type="http://schemas.openxmlformats.org/officeDocument/2006/relationships/worksheet" Target="/xl/worksheets/sheet6.xml" Id="Rae3febc256914717" /><Relationship Type="http://schemas.openxmlformats.org/officeDocument/2006/relationships/worksheet" Target="/xl/worksheets/sheet7.xml" Id="Rd51fb38e028c48f4" /><Relationship Type="http://schemas.openxmlformats.org/officeDocument/2006/relationships/worksheet" Target="/xl/worksheets/sheet8.xml" Id="R3c320dee413044ff" /><Relationship Type="http://schemas.openxmlformats.org/officeDocument/2006/relationships/worksheet" Target="/xl/worksheets/sheet9.xml" Id="R0a7e77662ed843e2" /><Relationship Type="http://schemas.openxmlformats.org/officeDocument/2006/relationships/worksheet" Target="/xl/worksheets/sheet10.xml" Id="R6831087868ae44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6" hidden="0" customWidth="1"/>
    <x:col min="4" max="4" width="58" hidden="0" customWidth="1"/>
    <x:col min="5" max="5" width="48" hidden="0" customWidth="1"/>
    <x:col min="6" max="6" width="42" hidden="0" customWidth="1"/>
  </x:cols>
  <x:sheetData>
    <x:row r="1" ht="32" customHeight="1">
      <x:c r="A1" s="6" t="str">
        <x:v>Позиция</x:v>
      </x:c>
      <x:c r="B1" s="6" t="str">
        <x:v>Модель</x:v>
      </x:c>
      <x:c r="C1" s="6" t="str">
        <x:v>Итог</x:v>
      </x:c>
      <x:c r="D1" s="6" t="str">
        <x:v>Почему</x:v>
      </x:c>
      <x:c r="E1" s="6" t="str">
        <x:v>Главный риск</x:v>
      </x:c>
      <x:c r="F1" s="6" t="str">
        <x:v>Действие</x:v>
      </x:c>
    </x:row>
    <x:row r="2">
      <x:c r="A2" s="14" t="n">
        <x:v>1</x:v>
      </x:c>
      <x:c r="B2" s="14" t="str">
        <x:v>OnePlus 15 16/512 US/Global CPH2749</x:v>
      </x:c>
      <x:c r="C2" s="14" t="str">
        <x:v>Лучший рациональный выбор</x:v>
      </x:c>
      <x:c r="D2" s="14" t="str">
        <x:v>≈67.5к ₽, 7300 мАч, Snapdragon 8 Elite Gen 5, 16/512, eSIM, LDAC, USB 3.2, 165 Гц. Под твои задачи мобильного управления — очень сильный.</x:v>
      </x:c>
      <x:c r="E2" s="14" t="str">
        <x:v>Камера: не топ и есть риск нестабильности/слабого low-light; US-комплект и отсутствие чехла у части поставок.</x:v>
      </x:c>
      <x:c r="F2" s="14" t="str">
        <x:v>Брать, но тестировать камеру/комплект/eSIM сразу при получении.</x:v>
      </x:c>
    </x:row>
    <x:row r="3">
      <x:c r="A3" s="14" t="n">
        <x:v>2</x:v>
      </x:c>
      <x:c r="B3" s="14" t="str">
        <x:v>OPPO Find X9 Pro 16/512 Global</x:v>
      </x:c>
      <x:c r="C3" s="14" t="str">
        <x:v>Лучший без компромисса по камере+батарее</x:v>
      </x:c>
      <x:c r="D3" s="14" t="str">
        <x:v>7500 мАч, 50+50+200 МП, 4K120, видео anti-shake, eSIM, LDAC, ультразвуковой FP, EU-зарядка+чехол.</x:v>
      </x:c>
      <x:c r="E3" s="14" t="str">
        <x:v>100к ₽, 224 г, 0 отзывов на конкретной WB-карточке; ColorOS может не зайти.</x:v>
      </x:c>
      <x:c r="F3" s="14" t="str">
        <x:v>Брать только если камера важнее переплаты ~33к ₽.</x:v>
      </x:c>
    </x:row>
    <x:row r="4">
      <x:c r="A4" s="14" t="n">
        <x:v>3</x:v>
      </x:c>
      <x:c r="B4" s="14" t="str">
        <x:v>OnePlus 13 16/512 Global</x:v>
      </x:c>
      <x:c r="C4" s="14" t="str">
        <x:v>Самый спокойный OnePlus</x:v>
      </x:c>
      <x:c r="D4" s="14" t="str">
        <x:v>Snapdragon 8 Elite, 6000 мАч, Hasselblad, Alert Slider, eSIM, LDAC, USB 3.2. Камера выглядит менее рискованной, чем у OnePlus 15.</x:v>
      </x:c>
      <x:c r="E4" s="14" t="str">
        <x:v>Старее, батарея меньше, тяжелее/крупнее; цена нужна текущая.</x:v>
      </x:c>
      <x:c r="F4" s="14" t="str">
        <x:v>Искать хорошую цену: если близко к OP15, хуже; если заметно дешевле — сильная альтернатива.</x:v>
      </x:c>
    </x:row>
    <x:row r="5">
      <x:c r="A5" s="14" t="n">
        <x:v>4</x:v>
      </x:c>
      <x:c r="B5" s="14" t="str">
        <x:v>HONOR Magic8 Pro 16/1TB Global</x:v>
      </x:c>
      <x:c r="C5" s="14" t="str">
        <x:v>Сильный, но с региональными проверками</x:v>
      </x:c>
      <x:c r="D5" s="14" t="str">
        <x:v>1 ТБ, 7100 мАч, Snapdragon 8 Elite Gen 5, 200 МП телевик, 3D face, AI Button, отзывы есть.</x:v>
      </x:c>
      <x:c r="E5" s="14" t="str">
        <x:v>В карточке WB SIM/eSIM указаны мутно; у EU/Global могут отличаться батарея/обновления; MagicOS — менее предсказуемая оболочка.</x:v>
      </x:c>
      <x:c r="F5" s="14" t="str">
        <x:v>Можно брать после письменного подтверждения eSIM и региона.</x:v>
      </x:c>
    </x:row>
    <x:row r="6">
      <x:c r="A6" s="14" t="n">
        <x:v>5</x:v>
      </x:c>
      <x:c r="B6" s="14" t="str">
        <x:v>OPPO Find X9 16/512 Global</x:v>
      </x:c>
      <x:c r="C6" s="14" t="str">
        <x:v>Хороший телефон, плохая цена в этой подборке</x:v>
      </x:c>
      <x:c r="D6" s="14" t="str">
        <x:v>Компактнее X9 Pro: 203 г, 6.59", 7025 мАч, Dimensity 9500, eSIM, LDAC.</x:v>
      </x:c>
      <x:c r="E6" s="14" t="str">
        <x:v>87к ₽ за обычный X9, 0 отзывов; рядом есть OP15 за 67к и X9 Pro за 100к.</x:v>
      </x:c>
      <x:c r="F6" s="14" t="str">
        <x:v>Не брать за 87к; брать только при существенной скидке.</x:v>
      </x:c>
    </x:row>
    <x:row r="7">
      <x:c r="A7" s="14" t="n">
        <x:v>6</x:v>
      </x:c>
      <x:c r="B7" s="14" t="str">
        <x:v>Samsung Galaxy S25+ 512</x:v>
      </x:c>
      <x:c r="C7" s="14" t="str">
        <x:v>Самый безопасный Samsung-вариант</x:v>
      </x:c>
      <x:c r="D7" s="14" t="str">
        <x:v>Snapdragon 8 Elite for Galaxy, 190 г, 7.3 мм, One UI, Windows Link, стабильная камера/видео, 7-летний Samsung-подход.</x:v>
      </x:c>
      <x:c r="E7" s="14" t="str">
        <x:v>4900 мАч: хайк 10–11 ч GPS уже под вопросом; апгрейд с S10 не ультимативный за деньги.</x:v>
      </x:c>
      <x:c r="F7" s="14" t="str">
        <x:v>Брать только если Samsung-фишки важнее батареи.</x:v>
      </x:c>
    </x:row>
    <x:row r="8">
      <x:c r="A8" s="14" t="n">
        <x:v>7</x:v>
      </x:c>
      <x:c r="B8" s="14" t="str">
        <x:v>Samsung Galaxy S26+ 512</x:v>
      </x:c>
      <x:c r="C8" s="14" t="str">
        <x:v>Переоценён для твоих требований</x:v>
      </x:c>
      <x:c r="D8" s="14" t="str">
        <x:v>Тонкий/лёгкий, One UI, Windows Link, 4900 мАч, 7 лет поддержки, стабильная камера.</x:v>
      </x:c>
      <x:c r="E8" s="14" t="str">
        <x:v>Цена высокая; Exynos 2600 в UK/EU; камера/батарея не дают вау-апгрейда.</x:v>
      </x:c>
      <x:c r="F8" s="14" t="str">
        <x:v>Не брать, если цель — максимум батареи/камеры за деньги.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65" hidden="0" customWidth="1"/>
    <x:col min="4" max="4" width="55" hidden="0" customWidth="1"/>
  </x:cols>
  <x:sheetData>
    <x:row r="1" ht="32" customHeight="1">
      <x:c r="A1" s="6" t="str">
        <x:v>Критерий</x:v>
      </x:c>
      <x:c r="B1" s="6" t="str">
        <x:v>Критичность</x:v>
      </x:c>
      <x:c r="C1" s="6" t="str">
        <x:v>Как интерпретировал</x:v>
      </x:c>
      <x:c r="D1" s="6" t="str">
        <x:v>Что валит выбор</x:v>
      </x:c>
    </x:row>
    <x:row r="2">
      <x:c r="A2" s="14" t="str">
        <x:v>eSIM + физическая SIM</x:v>
      </x:c>
      <x:c r="B2" s="14" t="str">
        <x:v>Must</x:v>
      </x:c>
      <x:c r="C2" s="14" t="str">
        <x:v>Для Европы/поездок: нужна eSIM и отдельная физическая SIM для основной карты.</x:v>
      </x:c>
      <x:c r="D2" s="14" t="str">
        <x:v>Нет eSIM или региональная версия без eSIM.</x:v>
      </x:c>
    </x:row>
    <x:row r="3">
      <x:c r="A3" s="14" t="str">
        <x:v>Память 256+ / лучше 512</x:v>
      </x:c>
      <x:c r="B3" s="14" t="str">
        <x:v>Must</x:v>
      </x:c>
      <x:c r="C3" s="14" t="str">
        <x:v>512 ГБ предпочтительно, SD не критична.</x:v>
      </x:c>
      <x:c r="D3" s="14" t="str">
        <x:v>&lt;256 ГБ; нет 512 по разумной цене.</x:v>
      </x:c>
    </x:row>
    <x:row r="4">
      <x:c r="A4" s="14" t="str">
        <x:v>Запас на 2–3 года</x:v>
      </x:c>
      <x:c r="B4" s="14" t="str">
        <x:v>Must</x:v>
      </x:c>
      <x:c r="C4" s="14" t="str">
        <x:v>Флагманский SoC, 12–16 ГБ RAM, нормальная политика обновлений.</x:v>
      </x:c>
      <x:c r="D4" s="14" t="str">
        <x:v>Слабая поддержка, перегрев, 8 ГБ RAM, сомнительная прошивка.</x:v>
      </x:c>
    </x:row>
    <x:row r="5">
      <x:c r="A5" s="14" t="str">
        <x:v>Камера лучше S10 и не бесит</x:v>
      </x:c>
      <x:c r="B5" s="14" t="str">
        <x:v>Must</x:v>
      </x:c>
      <x:c r="C5" s="14" t="str">
        <x:v>Быстро щёлкать, норм фото/видео/селфи, без дёрганого видео и дурацкой обработки.</x:v>
      </x:c>
      <x:c r="D5" s="14" t="str">
        <x:v>Нестабильный автофокус, плохое low-light, странный HDR, плохая стабилизация.</x:v>
      </x:c>
    </x:row>
    <x:row r="6">
      <x:c r="A6" s="14" t="str">
        <x:v>Прошивка без китайских костылей</x:v>
      </x:c>
      <x:c r="B6" s="14" t="str">
        <x:v>Must</x:v>
      </x:c>
      <x:c r="C6" s="14" t="str">
        <x:v>Уведомления, банки, Google, Syncthing, корпоративные приложения должны работать без ручного шаманства.</x:v>
      </x:c>
      <x:c r="D6" s="14" t="str">
        <x:v>Кривые уведомления, aggressive background kill, реклама, перепрошивка.</x:v>
      </x:c>
    </x:row>
    <x:row r="7">
      <x:c r="A7" s="14" t="str">
        <x:v>Разблокировка</x:v>
      </x:c>
      <x:c r="B7" s="14" t="str">
        <x:v>Must</x:v>
      </x:c>
      <x:c r="C7" s="14" t="str">
        <x:v>Быстрый и надёжный сканер, желательно ultrasonic; face unlock — бонус.</x:v>
      </x:c>
      <x:c r="D7" s="14" t="str">
        <x:v>Оптический/медленный сканер, частые PIN-вводы.</x:v>
      </x:c>
    </x:row>
    <x:row r="8">
      <x:c r="A8" s="14" t="str">
        <x:v>Автономность</x:v>
      </x:c>
      <x:c r="B8" s="14" t="str">
        <x:v>Must</x:v>
      </x:c>
      <x:c r="C8" s="14" t="str">
        <x:v>Полный день без паники; хайк 10–11 ч GPS + карта + ещё 2–3 ч до такси — желаемый максимум.</x:v>
      </x:c>
      <x:c r="D8" s="14" t="str">
        <x:v>4900 мАч без запаса или плохой модем/термальность.</x:v>
      </x:c>
    </x:row>
    <x:row r="9">
      <x:c r="A9" s="14" t="str">
        <x:v>Google Pay / Google apps</x:v>
      </x:c>
      <x:c r="B9" s="14" t="str">
        <x:v>Must</x:v>
      </x:c>
      <x:c r="C9" s="14" t="str">
        <x:v>Play Services, Google Wallet/Pay, Gmail, Maps, банки.</x:v>
      </x:c>
      <x:c r="D9" s="14" t="str">
        <x:v>CN-прошивка, broken Play Integrity, нет NFC/Google.</x:v>
      </x:c>
    </x:row>
    <x:row r="10">
      <x:c r="A10" s="14" t="str">
        <x:v>LDAC</x:v>
      </x:c>
      <x:c r="B10" s="14" t="str">
        <x:v>Must</x:v>
      </x:c>
      <x:c r="C10" s="14" t="str">
        <x:v>Для беспроводных наушников/музыки.</x:v>
      </x:c>
      <x:c r="D10" s="14" t="str">
        <x:v>Нет LDAC.</x:v>
      </x:c>
    </x:row>
    <x:row r="11">
      <x:c r="A11" s="14" t="str">
        <x:v>Модем/bands/GPS</x:v>
      </x:c>
      <x:c r="B11" s="14" t="str">
        <x:v>Must</x:v>
      </x:c>
      <x:c r="C11" s="14" t="str">
        <x:v>Нормальная связь в Армении/Европе/поездках, dual-band GPS желательно.</x:v>
      </x:c>
      <x:c r="D11" s="14" t="str">
        <x:v>Урезанные bands/региональная версия.</x:v>
      </x:c>
    </x:row>
    <x:row r="12">
      <x:c r="A12" s="14" t="str">
        <x:v>Материалы / падения</x:v>
      </x:c>
      <x:c r="B12" s="14" t="str">
        <x:v>Важно</x:v>
      </x:c>
      <x:c r="C12" s="14" t="str">
        <x:v>Роняешь, чехлы не любишь: стекло/рамка/IP/реальная прочность важны.</x:v>
      </x:c>
      <x:c r="D12" s="14" t="str">
        <x:v>Скользкий/хрупкий корпус без нормального стекла.</x:v>
      </x:c>
    </x:row>
    <x:row r="13">
      <x:c r="A13" s="14" t="str">
        <x:v>Вес/тонкость</x:v>
      </x:c>
      <x:c r="B13" s="14" t="str">
        <x:v>Важно</x:v>
      </x:c>
      <x:c r="C13" s="14" t="str">
        <x:v>Тяжёлая лопата хуже компромисса по батарее.</x:v>
      </x:c>
      <x:c r="D13" s="14" t="str">
        <x:v>&gt;220 г — ощутимый минус.</x:v>
      </x:c>
    </x:row>
    <x:row r="14">
      <x:c r="A14" s="14" t="str">
        <x:v>Быстрый фонарик/кнопка</x:v>
      </x:c>
      <x:c r="B14" s="14" t="str">
        <x:v>Важно</x:v>
      </x:c>
      <x:c r="C14" s="14" t="str">
        <x:v>Аналог перепрошитой Bixby-кнопки: фонарик/плеер/режимы без разблокировки.</x:v>
      </x:c>
      <x:c r="D14" s="14" t="str">
        <x:v>Нельзя повесить быстрый shortcut.</x:v>
      </x:c>
    </x:row>
    <x:row r="15">
      <x:c r="A15" s="14" t="str">
        <x:v>Windows-связка</x:v>
      </x:c>
      <x:c r="B15" s="14" t="str">
        <x:v>Бонус</x:v>
      </x:c>
      <x:c r="C15" s="14" t="str">
        <x:v>Samsung Link to Windows любимая фича, но не ведущая.</x:v>
      </x:c>
      <x:c r="D15" s="14" t="str">
        <x:v>Нет — не валит выбор.</x:v>
      </x:c>
    </x:row>
    <x:row r="16">
      <x:c r="A16" s="14" t="str">
        <x:v>Экран/динамики</x:v>
      </x:c>
      <x:c r="B16" s="14" t="str">
        <x:v>Важно</x:v>
      </x:c>
      <x:c r="C16" s="14" t="str">
        <x:v>AMOLED, норм цвет, 120 Гц не критично; громкие динамики для душа.</x:v>
      </x:c>
      <x:c r="D16" s="14" t="str">
        <x:v>Тусклый экран, плохие динамики.</x:v>
      </x:c>
    </x:row>
    <x:row r="17">
      <x:c r="A17" s="14" t="str">
        <x:v>Беспроводная зарядка</x:v>
      </x:c>
      <x:c r="B17" s="14" t="str">
        <x:v>Пофиг</x:v>
      </x:c>
      <x:c r="C17" s="14" t="str">
        <x:v>Не влияет на рейтинг.</x:v>
      </x:c>
      <x:c r="D17" s="14" t="str">
        <x:v>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2" customHeight="1">
      <x:c r="A1" s="6" t="str">
        <x:v>Критерий / характеристика</x:v>
      </x:c>
      <x:c r="B1" s="6" t="str">
        <x:v>OnePlus 15
16/512 US/Global CPH2749</x:v>
      </x:c>
      <x:c r="C1" s="6" t="str">
        <x:v>Samsung Galaxy S26+
512</x:v>
      </x:c>
      <x:c r="D1" s="6" t="str">
        <x:v>Samsung Galaxy S25+
512</x:v>
      </x:c>
      <x:c r="E1" s="6" t="str">
        <x:v>OPPO Find X9 Pro
16/512 Global</x:v>
      </x:c>
      <x:c r="F1" s="6" t="str">
        <x:v>OPPO Find X9
16/512 Global</x:v>
      </x:c>
      <x:c r="G1" s="6" t="str">
        <x:v>HONOR Magic8 Pro
16/1TB Global</x:v>
      </x:c>
      <x:c r="H1" s="6" t="str">
        <x:v>OnePlus 13
16/512 Global</x:v>
      </x:c>
    </x:row>
    <x:row r="2">
      <x:c r="A2" s="26" t="str">
        <x:v>Цена по найденной карточке / ориентир</x:v>
      </x:c>
      <x:c r="B2" s="14" t="str">
        <x:v>67 476 ₽ / 67 912 ₽ WB</x:v>
      </x:c>
      <x:c r="C2" s="14" t="str">
        <x:v>нет карточки; ориентир из твоих данных: ~926$ Amazon → оверпрайс</x:v>
      </x:c>
      <x:c r="D2" s="14" t="str">
        <x:v>нет карточки; ориентир из твоих данных: ~740$ Amazon без распродажи</x:v>
      </x:c>
      <x:c r="E2" s="14" t="str">
        <x:v>100 273 ₽ WB</x:v>
      </x:c>
      <x:c r="F2" s="14" t="str">
        <x:v>87 114 ₽ WB</x:v>
      </x:c>
      <x:c r="G2" s="14" t="str">
        <x:v>97 189 ₽ WB</x:v>
      </x:c>
      <x:c r="H2" s="14" t="str">
        <x:v>нет карточки в загруженных данных</x:v>
      </x:c>
    </x:row>
    <x:row r="3">
      <x:c r="A3" s="26" t="str">
        <x:v>Продавец / риск покупки</x:v>
      </x:c>
      <x:c r="B3" s="14" t="str">
        <x:v>WB Brand Flagship Store, 5★ 2–9 оценок; серый импорт/US-версия</x:v>
      </x:c>
      <x:c r="C3" s="14" t="str">
        <x:v>зависит от источника; если Amazon/серый импорт — проверять регион</x:v>
      </x:c>
      <x:c r="D3" s="14" t="str">
        <x:v>зависит от источника; Samsung проще по региону, но цена решает</x:v>
      </x:c>
      <x:c r="E3" s="14" t="str">
        <x:v>WB ТехМагазин, оригинал да, 0 отзывов</x:v>
      </x:c>
      <x:c r="F3" s="14" t="str">
        <x:v>WB Brand Flagship Store, оригинал да, 0 отзывов</x:v>
      </x:c>
      <x:c r="G3" s="14" t="str">
        <x:v>WB iDM Store, 12 оценок; оригинал в карточке не указан явно</x:v>
      </x:c>
      <x:c r="H3" s="14" t="str">
        <x:v>зависит от источника; искать Global</x:v>
      </x:c>
    </x:row>
    <x:row r="4">
      <x:c r="A4" s="26" t="str">
        <x:v>eSIM + физ SIM</x:v>
      </x:c>
      <x:c r="B4" s="14" t="str">
        <x:v>Да: WB Nano-SIM + Nano-SIM/eSIM; OnePlus official: eSIM supported</x:v>
      </x:c>
      <x:c r="C4" s="14" t="str">
        <x:v>Да: Samsung versions обычно nanoSIM/eSIM, но проверять регион</x:v>
      </x:c>
      <x:c r="D4" s="14" t="str">
        <x:v>Да: global/INT nano+nano+eSIM/eSIM; Samsung</x:v>
      </x:c>
      <x:c r="E4" s="14" t="str">
        <x:v>Да: OPPO official eSIM supported + Nano-SIM/Nano-USIM</x:v>
      </x:c>
      <x:c r="F4" s="14" t="str">
        <x:v>Да: WB Nano-SIM + eSIM/Nano-USIM; official eSIM supported</x:v>
      </x:c>
      <x:c r="G4" s="14" t="str">
        <x:v>Вероятно да, но проверить: WB характеристики пишут nano-SIM, отзыв пишет 2 SIM или SIM+eSIM</x:v>
      </x:c>
      <x:c r="H4" s="14" t="str">
        <x:v>Да: global supports eSIM; official specs mention dual nano-SIM, reviews confirm eSIM global</x:v>
      </x:c>
    </x:row>
    <x:row r="5">
      <x:c r="A5" s="26" t="str">
        <x:v>Память / SD</x:v>
      </x:c>
      <x:c r="B5" s="14" t="str">
        <x:v>16/512, UFS 4.1; SD нет</x:v>
      </x:c>
      <x:c r="C5" s="14" t="str">
        <x:v>12/512; SD нет</x:v>
      </x:c>
      <x:c r="D5" s="14" t="str">
        <x:v>12/512; SD нет</x:v>
      </x:c>
      <x:c r="E5" s="14" t="str">
        <x:v>16/512, LPDDR5X, UFS 4.1; SD нет</x:v>
      </x:c>
      <x:c r="F5" s="14" t="str">
        <x:v>16/512, LPDDR5X, UFS 4.1; SD нет</x:v>
      </x:c>
      <x:c r="G5" s="14" t="str">
        <x:v>16/1TB; SD нет</x:v>
      </x:c>
      <x:c r="H5" s="14" t="str">
        <x:v>16/512; SD нет</x:v>
      </x:c>
    </x:row>
    <x:row r="6">
      <x:c r="A6" s="26" t="str">
        <x:v>Процессор / запас</x:v>
      </x:c>
      <x:c r="B6" s="14" t="str">
        <x:v>Snapdragon 8 Elite Gen 5; отличный запас</x:v>
      </x:c>
      <x:c r="C6" s="14" t="str">
        <x:v>Exynos 2600 в UK/EU; зависит от региона, в ряде рынков Snapdragon; запас сильный, но Exynos психологически минус</x:v>
      </x:c>
      <x:c r="D6" s="14" t="str">
        <x:v>Snapdragon 8 Elite for Galaxy; стабильный запас</x:v>
      </x:c>
      <x:c r="E6" s="14" t="str">
        <x:v>Dimensity 9500; сейчас топ, но не Qualcomm</x:v>
      </x:c>
      <x:c r="F6" s="14" t="str">
        <x:v>Dimensity 9500; топ</x:v>
      </x:c>
      <x:c r="G6" s="14" t="str">
        <x:v>Snapdragon 8 Elite Gen 5; топ</x:v>
      </x:c>
      <x:c r="H6" s="14" t="str">
        <x:v>Snapdragon 8 Elite; сильный, но поколением старше</x:v>
      </x:c>
    </x:row>
    <x:row r="7">
      <x:c r="A7" s="26" t="str">
        <x:v>RAM / многозадачность</x:v>
      </x:c>
      <x:c r="B7" s="14" t="str">
        <x:v>16 ГБ — отлично для Telegram+карты+браузер+Teams</x:v>
      </x:c>
      <x:c r="C7" s="14" t="str">
        <x:v>12 ГБ — нормально, но меньше запаса</x:v>
      </x:c>
      <x:c r="D7" s="14" t="str">
        <x:v>12 ГБ — нормально, но меньше запаса</x:v>
      </x:c>
      <x:c r="E7" s="14" t="str">
        <x:v>16 ГБ — отлично</x:v>
      </x:c>
      <x:c r="F7" s="14" t="str">
        <x:v>16 ГБ — отлично</x:v>
      </x:c>
      <x:c r="G7" s="14" t="str">
        <x:v>16 ГБ — отлично</x:v>
      </x:c>
      <x:c r="H7" s="14" t="str">
        <x:v>16 ГБ — отлично</x:v>
      </x:c>
    </x:row>
    <x:row r="8">
      <x:c r="A8" s="26" t="str">
        <x:v>Батарея</x:v>
      </x:c>
      <x:c r="B8" s="14" t="str">
        <x:v>7300 мАч — очень сильный запас</x:v>
      </x:c>
      <x:c r="C8" s="14" t="str">
        <x:v>4900 мАч — слабее всех 7000+ кандидатов</x:v>
      </x:c>
      <x:c r="D8" s="14" t="str">
        <x:v>4900 мАч — слабее всех 7000+ кандидатов</x:v>
      </x:c>
      <x:c r="E8" s="14" t="str">
        <x:v>7500 тип / 7290 rated — максимум</x:v>
      </x:c>
      <x:c r="F8" s="14" t="str">
        <x:v>7025 тип / 6840 rated — очень сильная</x:v>
      </x:c>
      <x:c r="G8" s="14" t="str">
        <x:v>7100 мАч в WB/global; EU может быть меньше — проверить регион</x:v>
      </x:c>
      <x:c r="H8" s="14" t="str">
        <x:v>6000 мАч — хорошо, но ниже нового 7000+ класса</x:v>
      </x:c>
    </x:row>
    <x:row r="9">
      <x:c r="A9" s="26" t="str">
        <x:v>Хайк 10–11 ч GPS + карта</x:v>
      </x:c>
      <x:c r="B9" s="14" t="str">
        <x:v>Лучший шанс без пауэрбанка среди дешёвых; всё равно в первый хайк брать powerbank</x:v>
      </x:c>
      <x:c r="C9" s="14" t="str">
        <x:v>Рискованно; скорее powerbank обязателен</x:v>
      </x:c>
      <x:c r="D9" s="14" t="str">
        <x:v>Рискованно; лучше не рассчитывать</x:v>
      </x:c>
      <x:c r="E9" s="14" t="str">
        <x:v>Лучший шанс в списке; батарея + GPS bands сильные</x:v>
      </x:c>
      <x:c r="F9" s="14" t="str">
        <x:v>Очень хороший шанс, легче Pro</x:v>
      </x:c>
      <x:c r="G9" s="14" t="str">
        <x:v>Хороший шанс, если версия именно 7100 мАч</x:v>
      </x:c>
      <x:c r="H9" s="14" t="str">
        <x:v>Нормально, но уже не такой запас как у 7000+ моделей</x:v>
      </x:c>
    </x:row>
    <x:row r="10">
      <x:c r="A10" s="26" t="str">
        <x:v>Камера: факт по железу</x:v>
      </x:c>
      <x:c r="B10" s="14" t="str">
        <x:v>50 IMX906 + 50 теле + 50 UW; фронт 32</x:v>
      </x:c>
      <x:c r="C10" s="14" t="str">
        <x:v>50 wide + 12 UW + 10 tele 3x + front 12; стабильный Samsung-пакет</x:v>
      </x:c>
      <x:c r="D10" s="14" t="str">
        <x:v>50 wide + 12 UW + 10 tele 3x + front 12; стабильный Samsung-пакет</x:v>
      </x:c>
      <x:c r="E10" s="14" t="str">
        <x:v>50 UW + 50 wide f/1.5 OIS + 200 tele OIS + 2 mono; front 50 AF</x:v>
      </x:c>
      <x:c r="F10" s="14" t="str">
        <x:v>50 + 50 + 50; front 32; Hasselblad/tele</x:v>
      </x:c>
      <x:c r="G10" s="14" t="str">
        <x:v>50 + 50 + 200 tele; front 50; 3D face</x:v>
      </x:c>
      <x:c r="H10" s="14" t="str">
        <x:v>50 LYT-808 + 50 tele 3x + 50 UW; front 32; Hasselblad</x:v>
      </x:c>
    </x:row>
    <x:row r="11">
      <x:c r="A11" s="26" t="str">
        <x:v>Камера: практический риск</x:v>
      </x:c>
      <x:c r="B11" s="14" t="str">
        <x:v>Средний: обзоры и отзыв WB указывают вопросы в темноте/перенасыщение; днём хорошо</x:v>
      </x:c>
      <x:c r="C11" s="14" t="str">
        <x:v>Низкий по стабильности, но не вау по апгрейду железа</x:v>
      </x:c>
      <x:c r="D11" s="14" t="str">
        <x:v>Низкий по стабильности, но камеры консервативные</x:v>
      </x:c>
      <x:c r="E11" s="14" t="str">
        <x:v>Низко-средний: железо сильное, но возможна агрессивная обработка ColorOS</x:v>
      </x:c>
      <x:c r="F11" s="14" t="str">
        <x:v>Средний: слабее Pro, но должен быть хорош; мало отзывов WB</x:v>
      </x:c>
      <x:c r="G11" s="14" t="str">
        <x:v>Средний: сильное железо, но AI/video processing и региональные нюансы</x:v>
      </x:c>
      <x:c r="H11" s="14" t="str">
        <x:v>Низко-средний: камера зрелее/стабильнее OP15, но не батарейный монстр</x:v>
      </x:c>
    </x:row>
    <x:row r="12">
      <x:c r="A12" s="26" t="str">
        <x:v>Видео / стабилизация</x:v>
      </x:c>
      <x:c r="B12" s="14" t="str">
        <x:v>Сильные спеки; но tele/low-light могут быть слабее</x:v>
      </x:c>
      <x:c r="C12" s="14" t="str">
        <x:v>Super Steady + Horizontal Lock; Samsung стабилен</x:v>
      </x:c>
      <x:c r="D12" s="14" t="str">
        <x:v>Samsung стабилен, 8K/4K, Super Steady</x:v>
      </x:c>
      <x:c r="E12" s="14" t="str">
        <x:v>4K120 rear, front 4K60, video anti-shake official</x:v>
      </x:c>
      <x:c r="F12" s="14" t="str">
        <x:v>4K120 Dolby Vision по описанию OPPO; OIS/EIS</x:v>
      </x:c>
      <x:c r="G12" s="14" t="str">
        <x:v>OIS, 4K; часть обзоров: видео уступает лучшим конкурентам</x:v>
      </x:c>
      <x:c r="H12" s="14" t="str">
        <x:v>4K Dolby Vision on all cameras, EIS/OIS; зрелый пакет</x:v>
      </x:c>
    </x:row>
    <x:row r="13">
      <x:c r="A13" s="26" t="str">
        <x:v>Селфи / фронталка</x:v>
      </x:c>
      <x:c r="B13" s="14" t="str">
        <x:v>32 МП — норм</x:v>
      </x:c>
      <x:c r="C13" s="14" t="str">
        <x:v>12 МП — стабильно, но не вау</x:v>
      </x:c>
      <x:c r="D13" s="14" t="str">
        <x:v>12 МП — стабильно, но не вау</x:v>
      </x:c>
      <x:c r="E13" s="14" t="str">
        <x:v>50 МП AF — лучший кандидат</x:v>
      </x:c>
      <x:c r="F13" s="14" t="str">
        <x:v>32 МП — норм</x:v>
      </x:c>
      <x:c r="G13" s="14" t="str">
        <x:v>50 МП + 3D face — сильный</x:v>
      </x:c>
      <x:c r="H13" s="14" t="str">
        <x:v>32 МП — норм</x:v>
      </x:c>
    </x:row>
    <x:row r="14">
      <x:c r="A14" s="26" t="str">
        <x:v>Прошивка / стабильность</x:v>
      </x:c>
      <x:c r="B14" s="14" t="str">
        <x:v>OxygenOS 16; в целом чисто, но reviews отмечают quirks/AI-heavy</x:v>
      </x:c>
      <x:c r="C14" s="14" t="str">
        <x:v>One UI 8.5; стабильная, но шлака/занятого места больше</x:v>
      </x:c>
      <x:c r="D14" s="14" t="str">
        <x:v>One UI 7/8; стабильная, но шлака больше</x:v>
      </x:c>
      <x:c r="E14" s="14" t="str">
        <x:v>ColorOS 16; мощно, но потенциально менее предсказуемо</x:v>
      </x:c>
      <x:c r="F14" s="14" t="str">
        <x:v>ColorOS 16; мощно, но потенциально менее предсказуемо</x:v>
      </x:c>
      <x:c r="G14" s="14" t="str">
        <x:v>MagicOS 10; стало лучше, но регион/AI и фоновые процессы надо проверять</x:v>
      </x:c>
      <x:c r="H14" s="14" t="str">
        <x:v>OxygenOS 15/16; наиболее понятный OnePlus</x:v>
      </x:c>
    </x:row>
    <x:row r="15">
      <x:c r="A15" s="26" t="str">
        <x:v>Уведомления / background / Syncthing</x:v>
      </x:c>
      <x:c r="B15" s="14" t="str">
        <x:v>Нужно вручную снять ограничения батареи для Syncthing/мессенджеров</x:v>
      </x:c>
      <x:c r="C15" s="14" t="str">
        <x:v>Обычно хорошо, но One UI тоже любит оптимизацию</x:v>
      </x:c>
      <x:c r="D15" s="14" t="str">
        <x:v>Обычно хорошо, но One UI тоже любит оптимизацию</x:v>
      </x:c>
      <x:c r="E15" s="14" t="str">
        <x:v>Проверить автозапуск/батарею; китайские бренды могут душить фон</x:v>
      </x:c>
      <x:c r="F15" s="14" t="str">
        <x:v>Проверить автозапуск/батарею</x:v>
      </x:c>
      <x:c r="G15" s="14" t="str">
        <x:v>Проверить автозапуск/батарею особенно для Syncthing</x:v>
      </x:c>
      <x:c r="H15" s="14" t="str">
        <x:v>Проверить, но риск ниже, чем у Honor/OPPO</x:v>
      </x:c>
    </x:row>
    <x:row r="16">
      <x:c r="A16" s="26" t="str">
        <x:v>Google Pay / Google apps</x:v>
      </x:c>
      <x:c r="B16" s="14" t="str">
        <x:v>Должно работать на Global/US, но при сером импорте проверить Play Integrity</x:v>
      </x:c>
      <x:c r="C16" s="14" t="str">
        <x:v>Да</x:v>
      </x:c>
      <x:c r="D16" s="14" t="str">
        <x:v>Да</x:v>
      </x:c>
      <x:c r="E16" s="14" t="str">
        <x:v>Да на Global; проверить регион</x:v>
      </x:c>
      <x:c r="F16" s="14" t="str">
        <x:v>Да на Global; проверить регион</x:v>
      </x:c>
      <x:c r="G16" s="14" t="str">
        <x:v>Да на Global; проверить регион</x:v>
      </x:c>
      <x:c r="H16" s="14" t="str">
        <x:v>Да на Global; проверить регион</x:v>
      </x:c>
    </x:row>
    <x:row r="17">
      <x:c r="A17" s="26" t="str">
        <x:v>LDAC</x:v>
      </x:c>
      <x:c r="B17" s="14" t="str">
        <x:v>Да: official LDAC/aptX/aptX HD/Adaptive/LHDC</x:v>
      </x:c>
      <x:c r="C17" s="14" t="str">
        <x:v>Вероятно да у Samsung Android, но Samsung specs не всегда явно пишут; проверить в Developer options</x:v>
      </x:c>
      <x:c r="D17" s="14" t="str">
        <x:v>Вероятно да у Samsung Android, проверить</x:v>
      </x:c>
      <x:c r="E17" s="14" t="str">
        <x:v>Да: official LDAC/aptX/aptX HD/LHDC</x:v>
      </x:c>
      <x:c r="F17" s="14" t="str">
        <x:v>Да: карточка/official LDAC/aptX/aptX HD/LHDC</x:v>
      </x:c>
      <x:c r="G17" s="14" t="str">
        <x:v>Нужно проверить: official page плохо парсится; likely есть, но не засчитывать без проверки</x:v>
      </x:c>
      <x:c r="H17" s="14" t="str">
        <x:v>Да: official LDAC/LHDC/aptX-HD</x:v>
      </x:c>
    </x:row>
    <x:row r="18">
      <x:c r="A18" s="26" t="str">
        <x:v>USB</x:v>
      </x:c>
      <x:c r="B18" s="14" t="str">
        <x:v>USB 3.2 Gen 1</x:v>
      </x:c>
      <x:c r="C18" s="14" t="str">
        <x:v>USB-C 3.2</x:v>
      </x:c>
      <x:c r="D18" s="14" t="str">
        <x:v>USB-C 3.2</x:v>
      </x:c>
      <x:c r="E18" s="14" t="str">
        <x:v>USB-C 3.2 Gen 1</x:v>
      </x:c>
      <x:c r="F18" s="14" t="str">
        <x:v>USB-C 3.2 Gen 1 вероятно; WB не так явно</x:v>
      </x:c>
      <x:c r="G18" s="14" t="str">
        <x:v>Нужно проверить</x:v>
      </x:c>
      <x:c r="H18" s="14" t="str">
        <x:v>USB 3.2 Gen 1</x:v>
      </x:c>
    </x:row>
    <x:row r="19">
      <x:c r="A19" s="26" t="str">
        <x:v>Wi‑Fi / Bluetooth</x:v>
      </x:c>
      <x:c r="B19" s="14" t="str">
        <x:v>Wi‑Fi 7, BT 6.0</x:v>
      </x:c>
      <x:c r="C19" s="14" t="str">
        <x:v>Wi‑Fi 7, BT 6.x/5.x зависит от региона</x:v>
      </x:c>
      <x:c r="D19" s="14" t="str">
        <x:v>Wi‑Fi 7, BT 5.4/6.0 по региону</x:v>
      </x:c>
      <x:c r="E19" s="14" t="str">
        <x:v>Wi‑Fi 7, BT 6.0</x:v>
      </x:c>
      <x:c r="F19" s="14" t="str">
        <x:v>Wi‑Fi 7, BT 6.0</x:v>
      </x:c>
      <x:c r="G19" s="14" t="str">
        <x:v>Wi‑Fi 7, BT 6.0 вероятно</x:v>
      </x:c>
      <x:c r="H19" s="14" t="str">
        <x:v>Wi‑Fi 7, BT 5.4</x:v>
      </x:c>
    </x:row>
    <x:row r="20">
      <x:c r="A20" s="26" t="str">
        <x:v>GPS / навигация</x:v>
      </x:c>
      <x:c r="B20" s="14" t="str">
        <x:v>Dual-band GPS L1+L5, Galileo E1+E5a, BeiDou etc</x:v>
      </x:c>
      <x:c r="C20" s="14" t="str">
        <x:v>Сильный Samsung GPS, 5G; детали по региону</x:v>
      </x:c>
      <x:c r="D20" s="14" t="str">
        <x:v>Сильный Samsung GPS</x:v>
      </x:c>
      <x:c r="E20" s="14" t="str">
        <x:v>GPS L1+L5, GLONASS, BDS, Galileo, QZSS, NavIC</x:v>
      </x:c>
      <x:c r="F20" s="14" t="str">
        <x:v>GPS L1+L5, GLONASS, BDS, Galileo, QZSS, NavIC</x:v>
      </x:c>
      <x:c r="G20" s="14" t="str">
        <x:v>GPS/Galileo/GLONASS в WB; dual-band уточнить</x:v>
      </x:c>
      <x:c r="H20" s="14" t="str">
        <x:v>Dual-band GPS L1+L5, Galileo E1+E5a, QZSS, BDS</x:v>
      </x:c>
    </x:row>
    <x:row r="21">
      <x:c r="A21" s="26" t="str">
        <x:v>Разблокировка</x:v>
      </x:c>
      <x:c r="B21" s="14" t="str">
        <x:v>In-display ultrasonic FP official; face unlock</x:v>
      </x:c>
      <x:c r="C21" s="14" t="str">
        <x:v>Ultrasonic FP; face unlock 2D</x:v>
      </x:c>
      <x:c r="D21" s="14" t="str">
        <x:v>Ultrasonic FP; face unlock 2D</x:v>
      </x:c>
      <x:c r="E21" s="14" t="str">
        <x:v>In-display ultrasonic FP official; face unlock</x:v>
      </x:c>
      <x:c r="F21" s="14" t="str">
        <x:v>3D ultrasonic FP official; face unlock</x:v>
      </x:c>
      <x:c r="G21" s="14" t="str">
        <x:v>Ultrasonic FP + 3D face — лучший unlock-кандидат</x:v>
      </x:c>
      <x:c r="H21" s="14" t="str">
        <x:v>Ultrasonic FP official; face unlock</x:v>
      </x:c>
    </x:row>
    <x:row r="22">
      <x:c r="A22" s="26" t="str">
        <x:v>Материалы / защита</x:v>
      </x:c>
      <x:c r="B22" s="14" t="str">
        <x:v>IP66/IP68/IP69/IP69K; материал цвета надо проверить; Sand/беж может быть не стекло</x:v>
      </x:c>
      <x:c r="C22" s="14" t="str">
        <x:v>Victus 2 + Armor Aluminum + IP68</x:v>
      </x:c>
      <x:c r="D22" s="14" t="str">
        <x:v>Victus 2 + Armor Aluminum + IP68</x:v>
      </x:c>
      <x:c r="E22" s="14" t="str">
        <x:v>Victus 2 + IP69; 224 г, крупный блок камер</x:v>
      </x:c>
      <x:c r="F22" s="14" t="str">
        <x:v>Gorilla Glass 7i + IP66/68/69; легче</x:v>
      </x:c>
      <x:c r="G22" s="14" t="str">
        <x:v>IP68/IP69K; стекло/защита зависит от региона, чехол в WB</x:v>
      </x:c>
      <x:c r="H22" s="14" t="str">
        <x:v>Ceramic Guard + IP68/IP69; Alert Slider</x:v>
      </x:c>
    </x:row>
    <x:row r="23">
      <x:c r="A23" s="26" t="str">
        <x:v>Вес / размер</x:v>
      </x:c>
      <x:c r="B23" s="14" t="str">
        <x:v>≈215 г, 162×77×9 мм — уже лопата, но терпимо</x:v>
      </x:c>
      <x:c r="C23" s="14" t="str">
        <x:v>190 г, 158.4×75.8×7.3 — лучший баланс тонкости</x:v>
      </x:c>
      <x:c r="D23" s="14" t="str">
        <x:v>190 г, 158.4×75.8×7.3 — лучший баланс тонкости</x:v>
      </x:c>
      <x:c r="E23" s="14" t="str">
        <x:v>224 г, 161.3×76.5×8.25 — тяжёлый</x:v>
      </x:c>
      <x:c r="F23" s="14" t="str">
        <x:v>203 г, 157×73.9×8.0 — лучший из китайцев по удобству</x:v>
      </x:c>
      <x:c r="G23" s="14" t="str">
        <x:v>219 г, 161×75×8.3 — тяжеловат</x:v>
      </x:c>
      <x:c r="H23" s="14" t="str">
        <x:v>210–213 г, 162.9×76.5×8.5 — крупный</x:v>
      </x:c>
    </x:row>
    <x:row r="24">
      <x:c r="A24" s="26" t="str">
        <x:v>Кнопка / фонарик / быстрые действия</x:v>
      </x:c>
      <x:c r="B24" s="14" t="str">
        <x:v>Plus Key можно назначать на flashlight/shortcuts; хорошая замена Bixby</x:v>
      </x:c>
      <x:c r="C24" s="14" t="str">
        <x:v>Side Key: Samsung поддерживает flashlight/camera на double press</x:v>
      </x:c>
      <x:c r="D24" s="14" t="str">
        <x:v>Side Key: flashlight/camera на double press</x:v>
      </x:c>
      <x:c r="E24" s="14" t="str">
        <x:v>Snap Key + Quick Button; есть flashlight/shortcuts, но надо проверить гибкость</x:v>
      </x:c>
      <x:c r="F24" s="14" t="str">
        <x:v>Snap Key; есть flashlight/shortcuts</x:v>
      </x:c>
      <x:c r="G24" s="14" t="str">
        <x:v>AI Button customizable; потенциально лучший</x:v>
      </x:c>
      <x:c r="H24" s="14" t="str">
        <x:v>Alert Slider + gestures; но полноценная Bixby-замена хуже OP15/OPPO/Honor</x:v>
      </x:c>
    </x:row>
    <x:row r="25">
      <x:c r="A25" s="26" t="str">
        <x:v>Windows-связка</x:v>
      </x:c>
      <x:c r="B25" s="14" t="str">
        <x:v>Phone Link работает, но Samsung глубже</x:v>
      </x:c>
      <x:c r="C25" s="14" t="str">
        <x:v>Лучший вариант: Link to Windows / Galaxy Book экосистема</x:v>
      </x:c>
      <x:c r="D25" s="14" t="str">
        <x:v>Лучший вариант</x:v>
      </x:c>
      <x:c r="E25" s="14" t="str">
        <x:v>Phone Link/Google/ColorOS cross-device, но не Samsung</x:v>
      </x:c>
      <x:c r="F25" s="14" t="str">
        <x:v>То же</x:v>
      </x:c>
      <x:c r="G25" s="14" t="str">
        <x:v>HONOR Connect / Phone Link; не Samsung</x:v>
      </x:c>
      <x:c r="H25" s="14" t="str">
        <x:v>Phone Link; не Samsung</x:v>
      </x:c>
    </x:row>
    <x:row r="26">
      <x:c r="A26" s="26" t="str">
        <x:v>Экран</x:v>
      </x:c>
      <x:c r="B26" s="14" t="str">
        <x:v>6.78 AMOLED 2772×1272, до 165 Гц; ниже QHD, но норм</x:v>
      </x:c>
      <x:c r="C26" s="14" t="str">
        <x:v>6.7 Dynamic AMOLED 2X QHD+ 120 Гц, 2600 nits peak</x:v>
      </x:c>
      <x:c r="D26" s="14" t="str">
        <x:v>6.7 Dynamic AMOLED 2X QHD+ 120 Гц</x:v>
      </x:c>
      <x:c r="E26" s="14" t="str">
        <x:v>6.78 AMOLED 2772×1272 120 Гц, 10-bit DCI-P3</x:v>
      </x:c>
      <x:c r="F26" s="14" t="str">
        <x:v>6.59 AMOLED 2760×1256 120 Гц, 10-bit DCI-P3</x:v>
      </x:c>
      <x:c r="G26" s="14" t="str">
        <x:v>6.71 OLED 2808×1256 120 Гц, до 6000 nits peak по карточке</x:v>
      </x:c>
      <x:c r="H26" s="14" t="str">
        <x:v>6.82 QHD LTPO AMOLED 120 Гц — лучший по разрешению</x:v>
      </x:c>
    </x:row>
    <x:row r="27">
      <x:c r="A27" s="26" t="str">
        <x:v>Динамики</x:v>
      </x:c>
      <x:c r="B27" s="14" t="str">
        <x:v>Отзывы/обзоры хвалят, но проверить громкость в душе</x:v>
      </x:c>
      <x:c r="C27" s="14" t="str">
        <x:v>Стабильно хорошие Samsung stereo</x:v>
      </x:c>
      <x:c r="D27" s="14" t="str">
        <x:v>Стабильно хорошие Samsung stereo</x:v>
      </x:c>
      <x:c r="E27" s="14" t="str">
        <x:v>Ожидаемо хорошо, но карточка молчит</x:v>
      </x:c>
      <x:c r="F27" s="14" t="str">
        <x:v>Ожидаемо хорошо</x:v>
      </x:c>
      <x:c r="G27" s="14" t="str">
        <x:v>Обзоры хвалят динамики</x:v>
      </x:c>
      <x:c r="H27" s="14" t="str">
        <x:v>Хорошие stereo</x:v>
      </x:c>
    </x:row>
    <x:row r="28">
      <x:c r="A28" s="26" t="str">
        <x:v>Комплект</x:v>
      </x:c>
      <x:c r="B28" s="14" t="str">
        <x:v>WB пишет зарядка 120W; отзывы расходятся: есть 120W, есть 80W/нет чехла</x:v>
      </x:c>
      <x:c r="C28" s="14" t="str">
        <x:v>обычно без ЗУ; зависит от региона</x:v>
      </x:c>
      <x:c r="D28" s="14" t="str">
        <x:v>обычно без ЗУ; зависит от региона</x:v>
      </x:c>
      <x:c r="E28" s="14" t="str">
        <x:v>WB: EU charger + case + cable</x:v>
      </x:c>
      <x:c r="F28" s="14" t="str">
        <x:v>WB: EU charger + case + cable</x:v>
      </x:c>
      <x:c r="G28" s="14" t="str">
        <x:v>WB: charger + case + adapter in reviews</x:v>
      </x:c>
      <x:c r="H28" s="14" t="str">
        <x:v>зависит от поставки</x:v>
      </x:c>
    </x:row>
    <x:row r="29">
      <x:c r="A29" s="26" t="str">
        <x:v>Итог под твой профиль</x:v>
      </x:c>
      <x:c r="B29" s="14" t="str">
        <x:v>Брать первым: максимум ценности, если камера ок после теста</x:v>
      </x:c>
      <x:c r="C29" s="14" t="str">
        <x:v>Не брать за оверпрайс; только если Samsung важнее всего</x:v>
      </x:c>
      <x:c r="D29" s="14" t="str">
        <x:v>Можно, если найти сильно дешевле и принять батарею</x:v>
      </x:c>
      <x:c r="E29" s="14" t="str">
        <x:v>Брать как премиум-камерофон, если 100к не больно</x:v>
      </x:c>
      <x:c r="F29" s="14" t="str">
        <x:v>Не брать за 87к; хорош только при скидке</x:v>
      </x:c>
      <x:c r="G29" s="14" t="str">
        <x:v>Можно после eSIM/region-проверки; 1TB заманчиво</x:v>
      </x:c>
      <x:c r="H29" s="14" t="str">
        <x:v>Искать цену; хорошая запасная ставка против OP15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32" customHeight="1">
      <x:c r="A1" s="6" t="str">
        <x:v>Характеристика</x:v>
      </x:c>
      <x:c r="B1" s="6" t="str">
        <x:v>OnePlus 15
16/512 US/Global CPH2749</x:v>
      </x:c>
      <x:c r="C1" s="6" t="str">
        <x:v>Samsung Galaxy S26+
512</x:v>
      </x:c>
      <x:c r="D1" s="6" t="str">
        <x:v>Samsung Galaxy S25+
512</x:v>
      </x:c>
      <x:c r="E1" s="6" t="str">
        <x:v>OPPO Find X9 Pro
16/512 Global</x:v>
      </x:c>
      <x:c r="F1" s="6" t="str">
        <x:v>OPPO Find X9
16/512 Global</x:v>
      </x:c>
      <x:c r="G1" s="6" t="str">
        <x:v>HONOR Magic8 Pro
16/1TB Global</x:v>
      </x:c>
      <x:c r="H1" s="6" t="str">
        <x:v>OnePlus 13
16/512 Global</x:v>
      </x:c>
    </x:row>
    <x:row r="2">
      <x:c r="A2" s="26" t="str">
        <x:v>OS на старте / оболочка</x:v>
      </x:c>
      <x:c r="B2" s="14" t="str">
        <x:v>Android 16 / OxygenOS 16</x:v>
      </x:c>
      <x:c r="C2" s="14" t="str">
        <x:v>Android 16 / One UI 8.5</x:v>
      </x:c>
      <x:c r="D2" s="14" t="str">
        <x:v>Android 15 / One UI 7; обновление до Android 16</x:v>
      </x:c>
      <x:c r="E2" s="14" t="str">
        <x:v>Android 16 / ColorOS 16</x:v>
      </x:c>
      <x:c r="F2" s="14" t="str">
        <x:v>Android 16 / ColorOS 16</x:v>
      </x:c>
      <x:c r="G2" s="14" t="str">
        <x:v>Android 16 / MagicOS 10</x:v>
      </x:c>
      <x:c r="H2" s="14" t="str">
        <x:v>Android 15 / OxygenOS 15; Android 16 доступен</x:v>
      </x:c>
    </x:row>
    <x:row r="3">
      <x:c r="A3" s="26" t="str">
        <x:v>SoC</x:v>
      </x:c>
      <x:c r="B3" s="14" t="str">
        <x:v>Snapdragon 8 Elite Gen 5</x:v>
      </x:c>
      <x:c r="C3" s="14" t="str">
        <x:v>Exynos 2600 в UK/EU; Snapdragon в некоторых регионах</x:v>
      </x:c>
      <x:c r="D3" s="14" t="str">
        <x:v>Snapdragon 8 Elite for Galaxy</x:v>
      </x:c>
      <x:c r="E3" s="14" t="str">
        <x:v>MediaTek Dimensity 9500</x:v>
      </x:c>
      <x:c r="F3" s="14" t="str">
        <x:v>MediaTek Dimensity 9500</x:v>
      </x:c>
      <x:c r="G3" s="14" t="str">
        <x:v>Snapdragon 8 Elite Gen 5</x:v>
      </x:c>
      <x:c r="H3" s="14" t="str">
        <x:v>Snapdragon 8 Elite</x:v>
      </x:c>
    </x:row>
    <x:row r="4">
      <x:c r="A4" s="26" t="str">
        <x:v>RAM / storage</x:v>
      </x:c>
      <x:c r="B4" s="14" t="str">
        <x:v>16/512, LPDDR5X/UFS 4.1</x:v>
      </x:c>
      <x:c r="C4" s="14" t="str">
        <x:v>12/512</x:v>
      </x:c>
      <x:c r="D4" s="14" t="str">
        <x:v>12/512</x:v>
      </x:c>
      <x:c r="E4" s="14" t="str">
        <x:v>16/512, LPDDR5X/UFS 4.1</x:v>
      </x:c>
      <x:c r="F4" s="14" t="str">
        <x:v>16/512, LPDDR5X/UFS 4.1</x:v>
      </x:c>
      <x:c r="G4" s="14" t="str">
        <x:v>16/1TB</x:v>
      </x:c>
      <x:c r="H4" s="14" t="str">
        <x:v>16/512</x:v>
      </x:c>
    </x:row>
    <x:row r="5">
      <x:c r="A5" s="26" t="str">
        <x:v>microSD</x:v>
      </x:c>
      <x:c r="B5" s="14" t="str">
        <x:v>нет</x:v>
      </x:c>
      <x:c r="C5" s="14" t="str">
        <x:v>нет</x:v>
      </x:c>
      <x:c r="D5" s="14" t="str">
        <x:v>нет</x:v>
      </x:c>
      <x:c r="E5" s="14" t="str">
        <x:v>нет</x:v>
      </x:c>
      <x:c r="F5" s="14" t="str">
        <x:v>нет</x:v>
      </x:c>
      <x:c r="G5" s="14" t="str">
        <x:v>нет</x:v>
      </x:c>
      <x:c r="H5" s="14" t="str">
        <x:v>нет</x:v>
      </x:c>
    </x:row>
    <x:row r="6">
      <x:c r="A6" s="26" t="str">
        <x:v>Display</x:v>
      </x:c>
      <x:c r="B6" s="14" t="str">
        <x:v>6.78 AMOLED 2772×1272, 1–120/165 gaming</x:v>
      </x:c>
      <x:c r="C6" s="14" t="str">
        <x:v>6.7 Dynamic AMOLED 2X QHD+ 120Hz</x:v>
      </x:c>
      <x:c r="D6" s="14" t="str">
        <x:v>6.7 Dynamic AMOLED 2X QHD+ 120Hz</x:v>
      </x:c>
      <x:c r="E6" s="14" t="str">
        <x:v>6.78 AMOLED 2772×1272 120Hz, 450ppi</x:v>
      </x:c>
      <x:c r="F6" s="14" t="str">
        <x:v>6.59 AMOLED 2760×1256 120Hz, 460ppi</x:v>
      </x:c>
      <x:c r="G6" s="14" t="str">
        <x:v>6.71 OLED 2808×1256 120Hz</x:v>
      </x:c>
      <x:c r="H6" s="14" t="str">
        <x:v>6.82 QHD LTPO AMOLED 3168×1440 120Hz</x:v>
      </x:c>
    </x:row>
    <x:row r="7">
      <x:c r="A7" s="26" t="str">
        <x:v>Brightness / color</x:v>
      </x:c>
      <x:c r="B7" s="14" t="str">
        <x:v>официально хорошая, точные nits в WB не критичны</x:v>
      </x:c>
      <x:c r="C7" s="14" t="str">
        <x:v>2600 nits peak official</x:v>
      </x:c>
      <x:c r="D7" s="14" t="str">
        <x:v>2600 nits peak</x:v>
      </x:c>
      <x:c r="E7" s="14" t="str">
        <x:v>800 typical / 1800 HBM, 10-bit, DCI-P3</x:v>
      </x:c>
      <x:c r="F7" s="14" t="str">
        <x:v>800 typical / 1800 HBM, 10-bit, DCI-P3</x:v>
      </x:c>
      <x:c r="G7" s="14" t="str">
        <x:v>~6000 peak по WB/обзорам</x:v>
      </x:c>
      <x:c r="H7" s="14" t="str">
        <x:v>800/1600/4500 peak по OnePlus</x:v>
      </x:c>
    </x:row>
    <x:row r="8">
      <x:c r="A8" s="26" t="str">
        <x:v>Rear cameras</x:v>
      </x:c>
      <x:c r="B8" s="14" t="str">
        <x:v>50 main IMX906 + 50 tele + 50 UW</x:v>
      </x:c>
      <x:c r="C8" s="14" t="str">
        <x:v>50 wide + 12 UW + 10 tele 3x</x:v>
      </x:c>
      <x:c r="D8" s="14" t="str">
        <x:v>50 wide + 12 UW + 10 tele 3x</x:v>
      </x:c>
      <x:c r="E8" s="14" t="str">
        <x:v>50 UW + 50 wide OIS + 200 tele OIS + 2 mono</x:v>
      </x:c>
      <x:c r="F8" s="14" t="str">
        <x:v>50 wide + 50 UW + 50 tele</x:v>
      </x:c>
      <x:c r="G8" s="14" t="str">
        <x:v>50 wide + 50 UW + 200 periscope tele</x:v>
      </x:c>
      <x:c r="H8" s="14" t="str">
        <x:v>50 LYT-808 + 50 tele 3x + 50 UW</x:v>
      </x:c>
    </x:row>
    <x:row r="9">
      <x:c r="A9" s="26" t="str">
        <x:v>Front camera</x:v>
      </x:c>
      <x:c r="B9" s="14" t="str">
        <x:v>32 MP IMX709</x:v>
      </x:c>
      <x:c r="C9" s="14" t="str">
        <x:v>12 MP</x:v>
      </x:c>
      <x:c r="D9" s="14" t="str">
        <x:v>12 MP</x:v>
      </x:c>
      <x:c r="E9" s="14" t="str">
        <x:v>50 MP AF</x:v>
      </x:c>
      <x:c r="F9" s="14" t="str">
        <x:v>32 MP</x:v>
      </x:c>
      <x:c r="G9" s="14" t="str">
        <x:v>50 MP + 3D face</x:v>
      </x:c>
      <x:c r="H9" s="14" t="str">
        <x:v>32 MP</x:v>
      </x:c>
    </x:row>
    <x:row r="10">
      <x:c r="A10" s="26" t="str">
        <x:v>Video</x:v>
      </x:c>
      <x:c r="B10" s="14" t="str">
        <x:v>до 8K/4K120 по обзорам/спекам; проверить</x:v>
      </x:c>
      <x:c r="C10" s="14" t="str">
        <x:v>8K/4K; Super Steady Horizontal Lock</x:v>
      </x:c>
      <x:c r="D10" s="14" t="str">
        <x:v>8K/4K; Super Steady</x:v>
      </x:c>
      <x:c r="E10" s="14" t="str">
        <x:v>Rear 4K120, front 4K60, video anti-shake</x:v>
      </x:c>
      <x:c r="F10" s="14" t="str">
        <x:v>4K120 Dolby Vision по OPPO overview; проверить карточку</x:v>
      </x:c>
      <x:c r="G10" s="14" t="str">
        <x:v>4K; video processing не лидер по обзорам</x:v>
      </x:c>
      <x:c r="H10" s="14" t="str">
        <x:v>4K Dolby Vision all cameras; 8K rear</x:v>
      </x:c>
    </x:row>
    <x:row r="11">
      <x:c r="A11" s="26" t="str">
        <x:v>Battery</x:v>
      </x:c>
      <x:c r="B11" s="14" t="str">
        <x:v>7300 mAh</x:v>
      </x:c>
      <x:c r="C11" s="14" t="str">
        <x:v>4900 mAh</x:v>
      </x:c>
      <x:c r="D11" s="14" t="str">
        <x:v>4900 mAh</x:v>
      </x:c>
      <x:c r="E11" s="14" t="str">
        <x:v>7500 typical / 7290 rated</x:v>
      </x:c>
      <x:c r="F11" s="14" t="str">
        <x:v>7025 typical / 6840 rated</x:v>
      </x:c>
      <x:c r="G11" s="14" t="str">
        <x:v>7100 mAh WB/global; EU может быть 6270</x:v>
      </x:c>
      <x:c r="H11" s="14" t="str">
        <x:v>6000 mAh</x:v>
      </x:c>
    </x:row>
    <x:row r="12">
      <x:c r="A12" s="26" t="str">
        <x:v>Wired / wireless charging</x:v>
      </x:c>
      <x:c r="B12" s="14" t="str">
        <x:v>120W wired? / 50W wireless; US комплект проверить</x:v>
      </x:c>
      <x:c r="C12" s="14" t="str">
        <x:v>45W wired; wireless</x:v>
      </x:c>
      <x:c r="D12" s="14" t="str">
        <x:v>45W wired; wireless</x:v>
      </x:c>
      <x:c r="E12" s="14" t="str">
        <x:v>80W wired / 50W wireless</x:v>
      </x:c>
      <x:c r="F12" s="14" t="str">
        <x:v>80W wired / 50W wireless</x:v>
      </x:c>
      <x:c r="G12" s="14" t="str">
        <x:v>100W wired / 80W wireless</x:v>
      </x:c>
      <x:c r="H12" s="14" t="str">
        <x:v>100W wired / 50W wireless</x:v>
      </x:c>
    </x:row>
    <x:row r="13">
      <x:c r="A13" s="26" t="str">
        <x:v>SIM/eSIM</x:v>
      </x:c>
      <x:c r="B13" s="14" t="str">
        <x:v>Nano+Nano/eSIM; eSIM supported</x:v>
      </x:c>
      <x:c r="C13" s="14" t="str">
        <x:v>Nano/eSIM variants; max 2 active</x:v>
      </x:c>
      <x:c r="D13" s="14" t="str">
        <x:v>Nano/eSIM variants; max 2 active</x:v>
      </x:c>
      <x:c r="E13" s="14" t="str">
        <x:v>Nano-SIM/Nano-USIM + eSIM; SIM2 supported</x:v>
      </x:c>
      <x:c r="F13" s="14" t="str">
        <x:v>Nano-SIM/eSIM/Nano-USIM</x:v>
      </x:c>
      <x:c r="G13" s="14" t="str">
        <x:v>проверить: WB contradictory, review says SIM+eSIM</x:v>
      </x:c>
      <x:c r="H13" s="14" t="str">
        <x:v>dual nano-SIM; eSIM global</x:v>
      </x:c>
    </x:row>
    <x:row r="14">
      <x:c r="A14" s="26" t="str">
        <x:v>5G bands risk</x:v>
      </x:c>
      <x:c r="B14" s="14" t="str">
        <x:v>низкий: US/global bands broad</x:v>
      </x:c>
      <x:c r="C14" s="14" t="str">
        <x:v>низкий в global, но регион важен</x:v>
      </x:c>
      <x:c r="D14" s="14" t="str">
        <x:v>низкий в global</x:v>
      </x:c>
      <x:c r="E14" s="14" t="str">
        <x:v>низкий для version 1; beware version 2 урезанная</x:v>
      </x:c>
      <x:c r="F14" s="14" t="str">
        <x:v>средний: OPPO official has version 1/2 band sets; confirm CPH2797 global</x:v>
      </x:c>
      <x:c r="G14" s="14" t="str">
        <x:v>средний: confirm global/region</x:v>
      </x:c>
      <x:c r="H14" s="14" t="str">
        <x:v>низкий global</x:v>
      </x:c>
    </x:row>
    <x:row r="15">
      <x:c r="A15" s="26" t="str">
        <x:v>Wi-Fi</x:v>
      </x:c>
      <x:c r="B15" s="14" t="str">
        <x:v>Wi‑Fi 7</x:v>
      </x:c>
      <x:c r="C15" s="14" t="str">
        <x:v>Wi‑Fi 7</x:v>
      </x:c>
      <x:c r="D15" s="14" t="str">
        <x:v>Wi‑Fi 7</x:v>
      </x:c>
      <x:c r="E15" s="14" t="str">
        <x:v>Wi‑Fi 7</x:v>
      </x:c>
      <x:c r="F15" s="14" t="str">
        <x:v>Wi‑Fi 7</x:v>
      </x:c>
      <x:c r="G15" s="14" t="str">
        <x:v>Wi‑Fi 7 likely</x:v>
      </x:c>
      <x:c r="H15" s="14" t="str">
        <x:v>Wi‑Fi 7</x:v>
      </x:c>
    </x:row>
    <x:row r="16">
      <x:c r="A16" s="26" t="str">
        <x:v>Bluetooth / codecs</x:v>
      </x:c>
      <x:c r="B16" s="14" t="str">
        <x:v>BT 6.0; LDAC/aptX/aptX HD/Adaptive/LHDC</x:v>
      </x:c>
      <x:c r="C16" s="14" t="str">
        <x:v>LDAC likely; exact Samsung codec list not in cards</x:v>
      </x:c>
      <x:c r="D16" s="14" t="str">
        <x:v>LDAC likely; exact codec list not in cards</x:v>
      </x:c>
      <x:c r="E16" s="14" t="str">
        <x:v>BT 6.0; LDAC/aptX/aptX HD/LHDC</x:v>
      </x:c>
      <x:c r="F16" s="14" t="str">
        <x:v>BT 6.0; LDAC/aptX/aptX HD/LHDC</x:v>
      </x:c>
      <x:c r="G16" s="14" t="str">
        <x:v>BT likely 6.0; LDAC not confirmed in accessible official text</x:v>
      </x:c>
      <x:c r="H16" s="14" t="str">
        <x:v>BT 5.4; LDAC/aptX-HD/LHDC</x:v>
      </x:c>
    </x:row>
    <x:row r="17">
      <x:c r="A17" s="26" t="str">
        <x:v>USB</x:v>
      </x:c>
      <x:c r="B17" s="14" t="str">
        <x:v>USB 3.2 Gen 1</x:v>
      </x:c>
      <x:c r="C17" s="14" t="str">
        <x:v>USB-C 3.2</x:v>
      </x:c>
      <x:c r="D17" s="14" t="str">
        <x:v>USB-C 3.2</x:v>
      </x:c>
      <x:c r="E17" s="14" t="str">
        <x:v>USB 3.2 Gen 1</x:v>
      </x:c>
      <x:c r="F17" s="14" t="str">
        <x:v>USB 3.2 Gen 1 likely</x:v>
      </x:c>
      <x:c r="G17" s="14" t="str">
        <x:v>не подтверждено</x:v>
      </x:c>
      <x:c r="H17" s="14" t="str">
        <x:v>USB 3.2 Gen 1</x:v>
      </x:c>
    </x:row>
    <x:row r="18">
      <x:c r="A18" s="26" t="str">
        <x:v>IP / protection</x:v>
      </x:c>
      <x:c r="B18" s="14" t="str">
        <x:v>IP66/IP68/IP69/IP69K</x:v>
      </x:c>
      <x:c r="C18" s="14" t="str">
        <x:v>IP68</x:v>
      </x:c>
      <x:c r="D18" s="14" t="str">
        <x:v>IP68</x:v>
      </x:c>
      <x:c r="E18" s="14" t="str">
        <x:v>IP69</x:v>
      </x:c>
      <x:c r="F18" s="14" t="str">
        <x:v>IP66/IP68/IP69</x:v>
      </x:c>
      <x:c r="G18" s="14" t="str">
        <x:v>IP68/IP69/IP69K</x:v>
      </x:c>
      <x:c r="H18" s="14" t="str">
        <x:v>IP68/IP69</x:v>
      </x:c>
    </x:row>
    <x:row r="19">
      <x:c r="A19" s="26" t="str">
        <x:v>Weight</x:v>
      </x:c>
      <x:c r="B19" s="14" t="str">
        <x:v>≈215 г WB</x:v>
      </x:c>
      <x:c r="C19" s="14" t="str">
        <x:v>190 г</x:v>
      </x:c>
      <x:c r="D19" s="14" t="str">
        <x:v>190 г</x:v>
      </x:c>
      <x:c r="E19" s="14" t="str">
        <x:v>224 г</x:v>
      </x:c>
      <x:c r="F19" s="14" t="str">
        <x:v>203 г</x:v>
      </x:c>
      <x:c r="G19" s="14" t="str">
        <x:v>219 г</x:v>
      </x:c>
      <x:c r="H19" s="14" t="str">
        <x:v>210–213 г</x:v>
      </x:c>
    </x:row>
    <x:row r="20">
      <x:c r="A20" s="26" t="str">
        <x:v>Thickness</x:v>
      </x:c>
      <x:c r="B20" s="14" t="str">
        <x:v>0.9 см WB</x:v>
      </x:c>
      <x:c r="C20" s="14" t="str">
        <x:v>7.3 мм</x:v>
      </x:c>
      <x:c r="D20" s="14" t="str">
        <x:v>7.3 мм</x:v>
      </x:c>
      <x:c r="E20" s="14" t="str">
        <x:v>8.25 мм</x:v>
      </x:c>
      <x:c r="F20" s="14" t="str">
        <x:v>7.99 мм</x:v>
      </x:c>
      <x:c r="G20" s="14" t="str">
        <x:v>8.3 мм</x:v>
      </x:c>
      <x:c r="H20" s="14" t="str">
        <x:v>8.5–8.9 мм</x:v>
      </x:c>
    </x:row>
    <x:row r="21">
      <x:c r="A21" s="26" t="str">
        <x:v>Unlock</x:v>
      </x:c>
      <x:c r="B21" s="14" t="str">
        <x:v>ultrasonic FP + face</x:v>
      </x:c>
      <x:c r="C21" s="14" t="str">
        <x:v>ultrasonic FP + face</x:v>
      </x:c>
      <x:c r="D21" s="14" t="str">
        <x:v>ultrasonic FP + face</x:v>
      </x:c>
      <x:c r="E21" s="14" t="str">
        <x:v>ultrasonic FP + face</x:v>
      </x:c>
      <x:c r="F21" s="14" t="str">
        <x:v>ultrasonic FP + face</x:v>
      </x:c>
      <x:c r="G21" s="14" t="str">
        <x:v>ultrasonic FP + 3D face</x:v>
      </x:c>
      <x:c r="H21" s="14" t="str">
        <x:v>ultrasonic FP + face</x:v>
      </x:c>
    </x:row>
    <x:row r="22">
      <x:c r="A22" s="26" t="str">
        <x:v>Special button / quick action</x:v>
      </x:c>
      <x:c r="B22" s="14" t="str">
        <x:v>Plus Key</x:v>
      </x:c>
      <x:c r="C22" s="14" t="str">
        <x:v>Side Key</x:v>
      </x:c>
      <x:c r="D22" s="14" t="str">
        <x:v>Side Key</x:v>
      </x:c>
      <x:c r="E22" s="14" t="str">
        <x:v>Snap Key + Quick Button</x:v>
      </x:c>
      <x:c r="F22" s="14" t="str">
        <x:v>Snap Key</x:v>
      </x:c>
      <x:c r="G22" s="14" t="str">
        <x:v>AI Button</x:v>
      </x:c>
      <x:c r="H22" s="14" t="str">
        <x:v>Alert Slider + gestures</x:v>
      </x:c>
    </x:row>
    <x:row r="23">
      <x:c r="A23" s="26" t="str">
        <x:v>Main source confidence</x:v>
      </x:c>
      <x:c r="B23" s="14" t="str">
        <x:v>высокая по спекам, средняя по комплекту</x:v>
      </x:c>
      <x:c r="C23" s="14" t="str">
        <x:v>средняя: регион/Exynos</x:v>
      </x:c>
      <x:c r="D23" s="14" t="str">
        <x:v>высокая</x:v>
      </x:c>
      <x:c r="E23" s="14" t="str">
        <x:v>высокая по спекам, средняя по карточке WB из-за 0 отзывов</x:v>
      </x:c>
      <x:c r="F23" s="14" t="str">
        <x:v>средняя-высокая</x:v>
      </x:c>
      <x:c r="G23" s="14" t="str">
        <x:v>средняя: eSIM/регион</x:v>
      </x:c>
      <x:c r="H23" s="14" t="str">
        <x:v>высокая по спекам, цена неизвестна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</x:cols>
  <x:sheetData>
    <x:row r="1" ht="32" customHeight="1">
      <x:c r="A1" s="6" t="str">
        <x:v>Критерий</x:v>
      </x:c>
      <x:c r="B1" s="6" t="str">
        <x:v>Вес</x:v>
      </x:c>
      <x:c r="C1" s="6" t="str">
        <x:v>OnePlus 15
16/512 US/Global CPH2749</x:v>
      </x:c>
      <x:c r="D1" s="6" t="str">
        <x:v>Samsung Galaxy S26+
512</x:v>
      </x:c>
      <x:c r="E1" s="6" t="str">
        <x:v>Samsung Galaxy S25+
512</x:v>
      </x:c>
      <x:c r="F1" s="6" t="str">
        <x:v>OPPO Find X9 Pro
16/512 Global</x:v>
      </x:c>
      <x:c r="G1" s="6" t="str">
        <x:v>OPPO Find X9
16/512 Global</x:v>
      </x:c>
      <x:c r="H1" s="6" t="str">
        <x:v>HONOR Magic8 Pro
16/1TB Global</x:v>
      </x:c>
      <x:c r="I1" s="6" t="str">
        <x:v>OnePlus 13
16/512 Global</x:v>
      </x:c>
      <x:c r="J1" s="6" t="str">
        <x:v>Комментарий</x:v>
      </x:c>
    </x:row>
    <x:row r="2">
      <x:c r="A2" s="14" t="str">
        <x:v>eSIM + physical SIM</x:v>
      </x:c>
      <x:c r="B2" s="20" t="n">
        <x:v>12</x:v>
      </x:c>
      <x:c r="C2" s="20" t="n">
        <x:v>5</x:v>
      </x:c>
      <x:c r="D2" s="20" t="n">
        <x:v>5</x:v>
      </x:c>
      <x:c r="E2" s="20" t="n">
        <x:v>5</x:v>
      </x:c>
      <x:c r="F2" s="20" t="n">
        <x:v>5</x:v>
      </x:c>
      <x:c r="G2" s="20" t="n">
        <x:v>5</x:v>
      </x:c>
      <x:c r="H2" s="20" t="n">
        <x:v>4</x:v>
      </x:c>
      <x:c r="I2" s="20" t="n">
        <x:v>5</x:v>
      </x:c>
      <x:c r="J2" s="14" t="str">
        <x:v>Honor: eSIM confirmed by review/third-party, but card text contradictory.</x:v>
      </x:c>
    </x:row>
    <x:row r="3">
      <x:c r="A3" s="14" t="str">
        <x:v>Battery / GPS hike</x:v>
      </x:c>
      <x:c r="B3" s="20" t="n">
        <x:v>14</x:v>
      </x:c>
      <x:c r="C3" s="20" t="n">
        <x:v>5</x:v>
      </x:c>
      <x:c r="D3" s="20" t="n">
        <x:v>2.5</x:v>
      </x:c>
      <x:c r="E3" s="20" t="n">
        <x:v>2.5</x:v>
      </x:c>
      <x:c r="F3" s="20" t="n">
        <x:v>5</x:v>
      </x:c>
      <x:c r="G3" s="20" t="n">
        <x:v>4.7</x:v>
      </x:c>
      <x:c r="H3" s="20" t="n">
        <x:v>4.5</x:v>
      </x:c>
      <x:c r="I3" s="20" t="n">
        <x:v>4</x:v>
      </x:c>
      <x:c r="J3" s="14" t="str">
        <x:v>7000+ class matters most for hikes.</x:v>
      </x:c>
    </x:row>
    <x:row r="4">
      <x:c r="A4" s="14" t="str">
        <x:v>Camera stable, not annoying</x:v>
      </x:c>
      <x:c r="B4" s="20" t="n">
        <x:v>14</x:v>
      </x:c>
      <x:c r="C4" s="20" t="n">
        <x:v>3.6</x:v>
      </x:c>
      <x:c r="D4" s="20" t="n">
        <x:v>4</x:v>
      </x:c>
      <x:c r="E4" s="20" t="n">
        <x:v>4</x:v>
      </x:c>
      <x:c r="F4" s="20" t="n">
        <x:v>4.6</x:v>
      </x:c>
      <x:c r="G4" s="20" t="n">
        <x:v>4.2</x:v>
      </x:c>
      <x:c r="H4" s="20" t="n">
        <x:v>4.2</x:v>
      </x:c>
      <x:c r="I4" s="20" t="n">
        <x:v>4.3</x:v>
      </x:c>
      <x:c r="J4" s="14" t="str">
        <x:v>OP15 loses points for low-light/inconsistency reports.</x:v>
      </x:c>
    </x:row>
    <x:row r="5">
      <x:c r="A5" s="14" t="str">
        <x:v>Software stability / no tinkering</x:v>
      </x:c>
      <x:c r="B5" s="20" t="n">
        <x:v>12</x:v>
      </x:c>
      <x:c r="C5" s="20" t="n">
        <x:v>4</x:v>
      </x:c>
      <x:c r="D5" s="20" t="n">
        <x:v>4.6</x:v>
      </x:c>
      <x:c r="E5" s="20" t="n">
        <x:v>4.6</x:v>
      </x:c>
      <x:c r="F5" s="20" t="n">
        <x:v>3.8</x:v>
      </x:c>
      <x:c r="G5" s="20" t="n">
        <x:v>3.8</x:v>
      </x:c>
      <x:c r="H5" s="20" t="n">
        <x:v>4</x:v>
      </x:c>
      <x:c r="I5" s="20" t="n">
        <x:v>4.2</x:v>
      </x:c>
      <x:c r="J5" s="14" t="str">
        <x:v>Samsung most predictable; OPPO/Honor need background setting checks.</x:v>
      </x:c>
    </x:row>
    <x:row r="6">
      <x:c r="A6" s="14" t="str">
        <x:v>Performance / 2-3 year reserve</x:v>
      </x:c>
      <x:c r="B6" s="20" t="n">
        <x:v>10</x:v>
      </x:c>
      <x:c r="C6" s="20" t="n">
        <x:v>5</x:v>
      </x:c>
      <x:c r="D6" s="20" t="n">
        <x:v>4.5</x:v>
      </x:c>
      <x:c r="E6" s="20" t="n">
        <x:v>4.4</x:v>
      </x:c>
      <x:c r="F6" s="20" t="n">
        <x:v>4.8</x:v>
      </x:c>
      <x:c r="G6" s="20" t="n">
        <x:v>4.8</x:v>
      </x:c>
      <x:c r="H6" s="20" t="n">
        <x:v>5</x:v>
      </x:c>
      <x:c r="I6" s="20" t="n">
        <x:v>4.5</x:v>
      </x:c>
      <x:c r="J6" s="14" t="str">
        <x:v>All are flagship-class.</x:v>
      </x:c>
    </x:row>
    <x:row r="7">
      <x:c r="A7" s="14" t="str">
        <x:v>RAM/storage</x:v>
      </x:c>
      <x:c r="B7" s="20" t="n">
        <x:v>8</x:v>
      </x:c>
      <x:c r="C7" s="20" t="n">
        <x:v>5</x:v>
      </x:c>
      <x:c r="D7" s="20" t="n">
        <x:v>4</x:v>
      </x:c>
      <x:c r="E7" s="20" t="n">
        <x:v>4</x:v>
      </x:c>
      <x:c r="F7" s="20" t="n">
        <x:v>5</x:v>
      </x:c>
      <x:c r="G7" s="20" t="n">
        <x:v>5</x:v>
      </x:c>
      <x:c r="H7" s="20" t="n">
        <x:v>5</x:v>
      </x:c>
      <x:c r="I7" s="20" t="n">
        <x:v>5</x:v>
      </x:c>
      <x:c r="J7" s="14" t="str">
        <x:v>Samsung 12GB is enough but less headroom.</x:v>
      </x:c>
    </x:row>
    <x:row r="8">
      <x:c r="A8" s="14" t="str">
        <x:v>Unlock quality</x:v>
      </x:c>
      <x:c r="B8" s="20" t="n">
        <x:v>6</x:v>
      </x:c>
      <x:c r="C8" s="20" t="n">
        <x:v>4.7</x:v>
      </x:c>
      <x:c r="D8" s="20" t="n">
        <x:v>4.6</x:v>
      </x:c>
      <x:c r="E8" s="20" t="n">
        <x:v>4.6</x:v>
      </x:c>
      <x:c r="F8" s="20" t="n">
        <x:v>4.8</x:v>
      </x:c>
      <x:c r="G8" s="20" t="n">
        <x:v>4.8</x:v>
      </x:c>
      <x:c r="H8" s="20" t="n">
        <x:v>5</x:v>
      </x:c>
      <x:c r="I8" s="20" t="n">
        <x:v>4.7</x:v>
      </x:c>
      <x:c r="J8" s="14" t="str">
        <x:v>Honor wins with 3D face + ultrasonic.</x:v>
      </x:c>
    </x:row>
    <x:row r="9">
      <x:c r="A9" s="14" t="str">
        <x:v>Weight / ergonomics</x:v>
      </x:c>
      <x:c r="B9" s="20" t="n">
        <x:v>8</x:v>
      </x:c>
      <x:c r="C9" s="20" t="n">
        <x:v>3.5</x:v>
      </x:c>
      <x:c r="D9" s="20" t="n">
        <x:v>5</x:v>
      </x:c>
      <x:c r="E9" s="20" t="n">
        <x:v>5</x:v>
      </x:c>
      <x:c r="F9" s="20" t="n">
        <x:v>2.8</x:v>
      </x:c>
      <x:c r="G9" s="20" t="n">
        <x:v>4.3</x:v>
      </x:c>
      <x:c r="H9" s="20" t="n">
        <x:v>3</x:v>
      </x:c>
      <x:c r="I9" s="20" t="n">
        <x:v>3.6</x:v>
      </x:c>
      <x:c r="J9" s="14" t="str">
        <x:v>You said heavy shovel is worse than battery compromise.</x:v>
      </x:c>
    </x:row>
    <x:row r="10">
      <x:c r="A10" s="14" t="str">
        <x:v>Google Pay / Google apps</x:v>
      </x:c>
      <x:c r="B10" s="20" t="n">
        <x:v>6</x:v>
      </x:c>
      <x:c r="C10" s="20" t="n">
        <x:v>4.5</x:v>
      </x:c>
      <x:c r="D10" s="20" t="n">
        <x:v>5</x:v>
      </x:c>
      <x:c r="E10" s="20" t="n">
        <x:v>5</x:v>
      </x:c>
      <x:c r="F10" s="20" t="n">
        <x:v>4.5</x:v>
      </x:c>
      <x:c r="G10" s="20" t="n">
        <x:v>4.5</x:v>
      </x:c>
      <x:c r="H10" s="20" t="n">
        <x:v>4.4</x:v>
      </x:c>
      <x:c r="I10" s="20" t="n">
        <x:v>4.5</x:v>
      </x:c>
      <x:c r="J10" s="14" t="str">
        <x:v>Grey import requires Play Integrity/region check.</x:v>
      </x:c>
    </x:row>
    <x:row r="11">
      <x:c r="A11" s="14" t="str">
        <x:v>LDAC / audio</x:v>
      </x:c>
      <x:c r="B11" s="20" t="n">
        <x:v>5</x:v>
      </x:c>
      <x:c r="C11" s="20" t="n">
        <x:v>5</x:v>
      </x:c>
      <x:c r="D11" s="20" t="n">
        <x:v>4</x:v>
      </x:c>
      <x:c r="E11" s="20" t="n">
        <x:v>4</x:v>
      </x:c>
      <x:c r="F11" s="20" t="n">
        <x:v>5</x:v>
      </x:c>
      <x:c r="G11" s="20" t="n">
        <x:v>5</x:v>
      </x:c>
      <x:c r="H11" s="20" t="n">
        <x:v>3.5</x:v>
      </x:c>
      <x:c r="I11" s="20" t="n">
        <x:v>5</x:v>
      </x:c>
      <x:c r="J11" s="14" t="str">
        <x:v>Honor/Samsung not explicit in current source set.</x:v>
      </x:c>
    </x:row>
    <x:row r="12">
      <x:c r="A12" s="14" t="str">
        <x:v>Bands/modem/GPS quality</x:v>
      </x:c>
      <x:c r="B12" s="20" t="n">
        <x:v>7</x:v>
      </x:c>
      <x:c r="C12" s="20" t="n">
        <x:v>4.7</x:v>
      </x:c>
      <x:c r="D12" s="20" t="n">
        <x:v>4.4</x:v>
      </x:c>
      <x:c r="E12" s="20" t="n">
        <x:v>4.8</x:v>
      </x:c>
      <x:c r="F12" s="20" t="n">
        <x:v>4.5</x:v>
      </x:c>
      <x:c r="G12" s="20" t="n">
        <x:v>4.3</x:v>
      </x:c>
      <x:c r="H12" s="20" t="n">
        <x:v>4</x:v>
      </x:c>
      <x:c r="I12" s="20" t="n">
        <x:v>4.7</x:v>
      </x:c>
      <x:c r="J12" s="14" t="str">
        <x:v>OPPO/Honor region variants require care.</x:v>
      </x:c>
    </x:row>
    <x:row r="13">
      <x:c r="A13" s="14" t="str">
        <x:v>Fast button / flashlight</x:v>
      </x:c>
      <x:c r="B13" s="20" t="n">
        <x:v>5</x:v>
      </x:c>
      <x:c r="C13" s="20" t="n">
        <x:v>5</x:v>
      </x:c>
      <x:c r="D13" s="20" t="n">
        <x:v>5</x:v>
      </x:c>
      <x:c r="E13" s="20" t="n">
        <x:v>5</x:v>
      </x:c>
      <x:c r="F13" s="20" t="n">
        <x:v>4.5</x:v>
      </x:c>
      <x:c r="G13" s="20" t="n">
        <x:v>4.5</x:v>
      </x:c>
      <x:c r="H13" s="20" t="n">
        <x:v>4.8</x:v>
      </x:c>
      <x:c r="I13" s="20" t="n">
        <x:v>4</x:v>
      </x:c>
      <x:c r="J13" s="14" t="str">
        <x:v>OP15/OPPO/Honor have useful custom keys; Samsung side key works too.</x:v>
      </x:c>
    </x:row>
    <x:row r="14">
      <x:c r="A14" s="14" t="str">
        <x:v>Materials / no-case durability</x:v>
      </x:c>
      <x:c r="B14" s="20" t="n">
        <x:v>6</x:v>
      </x:c>
      <x:c r="C14" s="20" t="n">
        <x:v>4</x:v>
      </x:c>
      <x:c r="D14" s="20" t="n">
        <x:v>4.5</x:v>
      </x:c>
      <x:c r="E14" s="20" t="n">
        <x:v>4.5</x:v>
      </x:c>
      <x:c r="F14" s="20" t="n">
        <x:v>4.3</x:v>
      </x:c>
      <x:c r="G14" s="20" t="n">
        <x:v>4.1</x:v>
      </x:c>
      <x:c r="H14" s="20" t="n">
        <x:v>4.2</x:v>
      </x:c>
      <x:c r="I14" s="20" t="n">
        <x:v>4.4</x:v>
      </x:c>
      <x:c r="J14" s="14" t="str">
        <x:v>Samsung thin/light; OPPO/OnePlus stronger IP.</x:v>
      </x:c>
    </x:row>
    <x:row r="15">
      <x:c r="A15" s="14" t="str">
        <x:v>Windows Link bonus</x:v>
      </x:c>
      <x:c r="B15" s="20" t="n">
        <x:v>3</x:v>
      </x:c>
      <x:c r="C15" s="20" t="n">
        <x:v>3.5</x:v>
      </x:c>
      <x:c r="D15" s="20" t="n">
        <x:v>5</x:v>
      </x:c>
      <x:c r="E15" s="20" t="n">
        <x:v>5</x:v>
      </x:c>
      <x:c r="F15" s="20" t="n">
        <x:v>3</x:v>
      </x:c>
      <x:c r="G15" s="20" t="n">
        <x:v>3</x:v>
      </x:c>
      <x:c r="H15" s="20" t="n">
        <x:v>3.5</x:v>
      </x:c>
      <x:c r="I15" s="20" t="n">
        <x:v>3.5</x:v>
      </x:c>
      <x:c r="J15" s="14" t="str">
        <x:v>Bonus only.</x:v>
      </x:c>
    </x:row>
    <x:row r="16">
      <x:c r="A16" s="14" t="str">
        <x:v>Price/value</x:v>
      </x:c>
      <x:c r="B16" s="20" t="n">
        <x:v>15</x:v>
      </x:c>
      <x:c r="C16" s="20" t="n">
        <x:v>5</x:v>
      </x:c>
      <x:c r="D16" s="20" t="n">
        <x:v>2.2</x:v>
      </x:c>
      <x:c r="E16" s="20" t="n">
        <x:v>3.4</x:v>
      </x:c>
      <x:c r="F16" s="20" t="n">
        <x:v>3.2</x:v>
      </x:c>
      <x:c r="G16" s="20" t="n">
        <x:v>3.1</x:v>
      </x:c>
      <x:c r="H16" s="20" t="n">
        <x:v>3.2</x:v>
      </x:c>
      <x:c r="I16" s="20" t="n">
        <x:v>4</x:v>
      </x:c>
      <x:c r="J16" s="14" t="str">
        <x:v>OP15 at 67k crushes value; S26+ and X9 Pro need premium justification.</x:v>
      </x:c>
    </x:row>
    <x:row r="17">
      <x:c r="A17" s="17" t="str">
        <x:v>ИТОГ weighted / 5</x:v>
      </x:c>
      <x:c r="B17" s="21" t="str"/>
      <x:c r="C17" s="21" t="n">
        <x:f>ROUND(SUMPRODUCT($B$2:$B$16,C$2:C$16)/SUM($B$2:$B$16),2)</x:f>
        <x:v>4.53</x:v>
      </x:c>
      <x:c r="D17" s="21" t="n">
        <x:f>ROUND(SUMPRODUCT($B$2:$B$16,D$2:D$16)/SUM($B$2:$B$16),2)</x:f>
        <x:v>4.06</x:v>
      </x:c>
      <x:c r="E17" s="21" t="n">
        <x:f>ROUND(SUMPRODUCT($B$2:$B$16,E$2:E$16)/SUM($B$2:$B$16),2)</x:f>
        <x:v>4.21</x:v>
      </x:c>
      <x:c r="F17" s="21" t="n">
        <x:f>ROUND(SUMPRODUCT($B$2:$B$16,F$2:F$16)/SUM($B$2:$B$16),2)</x:f>
        <x:v>4.34</x:v>
      </x:c>
      <x:c r="G17" s="21" t="n">
        <x:f>ROUND(SUMPRODUCT($B$2:$B$16,G$2:G$16)/SUM($B$2:$B$16),2)</x:f>
        <x:v>4.32</x:v>
      </x:c>
      <x:c r="H17" s="21" t="n">
        <x:f>ROUND(SUMPRODUCT($B$2:$B$16,H$2:H$16)/SUM($B$2:$B$16),2)</x:f>
        <x:v>4.13</x:v>
      </x:c>
      <x:c r="I17" s="21" t="n">
        <x:f>ROUND(SUMPRODUCT($B$2:$B$16,I$2:I$16)/SUM($B$2:$B$16),2)</x:f>
        <x:v>4.35</x:v>
      </x:c>
      <x:c r="J17" s="17" t="str"/>
    </x:row>
    <x:row r="18">
      <x:c r="A18" s="17" t="str">
        <x:v>ИТОГ / 100</x:v>
      </x:c>
      <x:c r="B18" s="21" t="str"/>
      <x:c r="C18" s="21" t="n">
        <x:f>ROUND(C17*20,0)</x:f>
        <x:v>91</x:v>
      </x:c>
      <x:c r="D18" s="21" t="n">
        <x:f>ROUND(D17*20,0)</x:f>
        <x:v>81</x:v>
      </x:c>
      <x:c r="E18" s="21" t="n">
        <x:f>ROUND(E17*20,0)</x:f>
        <x:v>84</x:v>
      </x:c>
      <x:c r="F18" s="21" t="n">
        <x:f>ROUND(F17*20,0)</x:f>
        <x:v>87</x:v>
      </x:c>
      <x:c r="G18" s="21" t="n">
        <x:f>ROUND(G17*20,0)</x:f>
        <x:v>86</x:v>
      </x:c>
      <x:c r="H18" s="21" t="n">
        <x:f>ROUND(H17*20,0)</x:f>
        <x:v>83</x:v>
      </x:c>
      <x:c r="I18" s="21" t="n">
        <x:f>ROUND(I17*20,0)</x:f>
        <x:v>87</x:v>
      </x:c>
      <x:c r="J18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6" hidden="0" customWidth="1"/>
    <x:col min="5" max="5" width="62" hidden="0" customWidth="1"/>
    <x:col min="6" max="6" width="46" hidden="0" customWidth="1"/>
  </x:cols>
  <x:sheetData>
    <x:row r="1" ht="32" customHeight="1">
      <x:c r="A1" s="6" t="str">
        <x:v>Риск</x:v>
      </x:c>
      <x:c r="B1" s="6" t="str">
        <x:v>Кого касается</x:v>
      </x:c>
      <x:c r="C1" s="6" t="str">
        <x:v>Вероятность</x:v>
      </x:c>
      <x:c r="D1" s="6" t="str">
        <x:v>Влияние</x:v>
      </x:c>
      <x:c r="E1" s="6" t="str">
        <x:v>Что проверить до/при покупке</x:v>
      </x:c>
      <x:c r="F1" s="6" t="str">
        <x:v>Как влияет на решение</x:v>
      </x:c>
    </x:row>
    <x:row r="2">
      <x:c r="A2" s="14" t="str">
        <x:v>Камера OnePlus 15 может бесить в темноте / tele</x:v>
      </x:c>
      <x:c r="B2" s="14" t="str">
        <x:v>OnePlus 15</x:v>
      </x:c>
      <x:c r="C2" s="14" t="str">
        <x:v>средняя</x:v>
      </x:c>
      <x:c r="D2" s="14" t="str">
        <x:v>высокое</x:v>
      </x:c>
      <x:c r="E2" s="14" t="str">
        <x:v>В пункте выдачи/сразу дома: фото в комнате вечером, видео при ходьбе, селфи, Telegram-camera, zoom 3x.</x:v>
      </x:c>
      <x:c r="F2" s="14" t="str">
        <x:v>Главное условие покупки OP15. Если камера раздражает — возвращать.</x:v>
      </x:c>
    </x:row>
    <x:row r="3">
      <x:c r="A3" s="14" t="str">
        <x:v>US/серый комплект не совпадает с карточкой</x:v>
      </x:c>
      <x:c r="B3" s="14" t="str">
        <x:v>OnePlus 15 WB</x:v>
      </x:c>
      <x:c r="C3" s="14" t="str">
        <x:v>средняя</x:v>
      </x:c>
      <x:c r="D3" s="14" t="str">
        <x:v>среднее</x:v>
      </x:c>
      <x:c r="E3" s="14" t="str">
        <x:v>Сверить ЗУ 120W/80W, переходник, наличие чехла, модель CPH2749, пломбы, IMEI.</x:v>
      </x:c>
      <x:c r="F3" s="14" t="str">
        <x:v>Не валит телефон, но валит конкретную карточку/продавца.</x:v>
      </x:c>
    </x:row>
    <x:row r="4">
      <x:c r="A4" s="14" t="str">
        <x:v>eSIM/региональная версия не та</x:v>
      </x:c>
      <x:c r="B4" s="14" t="str">
        <x:v>Honor, OPPO, Samsung серый импорт</x:v>
      </x:c>
      <x:c r="C4" s="14" t="str">
        <x:v>средняя</x:v>
      </x:c>
      <x:c r="D4" s="14" t="str">
        <x:v>высокое</x:v>
      </x:c>
      <x:c r="E4" s="14" t="str">
        <x:v>До оплаты запросить фото настроек SIM/eSIM или модель/регион; при получении открыть Settings → SIMs/eSIM.</x:v>
      </x:c>
      <x:c r="F4" s="14" t="str">
        <x:v>Без eSIM — автоматический отказ.</x:v>
      </x:c>
    </x:row>
    <x:row r="5">
      <x:c r="A5" s="14" t="str">
        <x:v>Play Integrity / Google Wallet</x:v>
      </x:c>
      <x:c r="B5" s="14" t="str">
        <x:v>все серые китайцы</x:v>
      </x:c>
      <x:c r="C5" s="14" t="str">
        <x:v>низко-средняя</x:v>
      </x:c>
      <x:c r="D5" s="14" t="str">
        <x:v>критическое</x:v>
      </x:c>
      <x:c r="E5" s="14" t="str">
        <x:v>Проверить Google Wallet, банки, Play Protect certification.</x:v>
      </x:c>
      <x:c r="F5" s="14" t="str">
        <x:v>Не работает Google Pay — отказ.</x:v>
      </x:c>
    </x:row>
    <x:row r="6">
      <x:c r="A6" s="14" t="str">
        <x:v>Фоновые процессы / Syncthing/уведомления</x:v>
      </x:c>
      <x:c r="B6" s="14" t="str">
        <x:v>OPPO/Honor/OnePlus</x:v>
      </x:c>
      <x:c r="C6" s="14" t="str">
        <x:v>средняя</x:v>
      </x:c>
      <x:c r="D6" s="14" t="str">
        <x:v>среднее-высокое</x:v>
      </x:c>
      <x:c r="E6" s="14" t="str">
        <x:v>Отключить battery optimization для Syncthing, Telegram, Teams, Outlook, Maps; проверить ночь/день.</x:v>
      </x:c>
      <x:c r="F6" s="14" t="str">
        <x:v>Не валит сразу, но если уведомления кривые — лучше Samsung/OnePlus13.</x:v>
      </x:c>
    </x:row>
    <x:row r="7">
      <x:c r="A7" s="14" t="str">
        <x:v>Вес/лопата</x:v>
      </x:c>
      <x:c r="B7" s="14" t="str">
        <x:v>X9 Pro, Honor, OP15, OP13</x:v>
      </x:c>
      <x:c r="C7" s="14" t="str">
        <x:v>высокая</x:v>
      </x:c>
      <x:c r="D7" s="14" t="str">
        <x:v>среднее</x:v>
      </x:c>
      <x:c r="E7" s="14" t="str">
        <x:v>Потрогать в руке с имитацией чехла/без чехла, проверить карман.</x:v>
      </x:c>
      <x:c r="F7" s="14" t="str">
        <x:v>X9 Pro/Honor брать только если готов к 219–224 г.</x:v>
      </x:c>
    </x:row>
    <x:row r="8">
      <x:c r="A8" s="14" t="str">
        <x:v>S26+/S25+ не дадут вау-апгрейд батареи</x:v>
      </x:c>
      <x:c r="B8" s="14" t="str">
        <x:v>Samsung S25+/S26+</x:v>
      </x:c>
      <x:c r="C8" s="14" t="str">
        <x:v>высокая</x:v>
      </x:c>
      <x:c r="D8" s="14" t="str">
        <x:v>высокое</x:v>
      </x:c>
      <x:c r="E8" s="14" t="str">
        <x:v>Сравнить реальные сценарии: карты+Telegram+Teams+музыка.</x:v>
      </x:c>
      <x:c r="F8" s="14" t="str">
        <x:v>Для твоей боли с 3 зарядками в день Samsung Plus хуже 7000+ конкурентов.</x:v>
      </x:c>
    </x:row>
    <x:row r="9">
      <x:c r="A9" s="14" t="str">
        <x:v>OPPO Find X9 за 87к экономически неинтересен</x:v>
      </x:c>
      <x:c r="B9" s="14" t="str">
        <x:v>OPPO Find X9</x:v>
      </x:c>
      <x:c r="C9" s="14" t="str">
        <x:v>высокая</x:v>
      </x:c>
      <x:c r="D9" s="14" t="str">
        <x:v>среднее</x:v>
      </x:c>
      <x:c r="E9" s="14" t="str">
        <x:v>Сравнить цену с OP15 и X9 Pro.</x:v>
      </x:c>
      <x:c r="F9" s="14" t="str">
        <x:v>Брать только при падении цены примерно до 70–75к.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14" hidden="0" customWidth="1"/>
  </x:cols>
  <x:sheetData>
    <x:row r="1" ht="32" customHeight="1">
      <x:c r="A1" s="6" t="str">
        <x:v>Проверка при получении</x:v>
      </x:c>
      <x:c r="B1" s="6" t="str">
        <x:v>Как проверить</x:v>
      </x:c>
      <x:c r="C1" s="6" t="str">
        <x:v>Критично?</x:v>
      </x:c>
    </x:row>
    <x:row r="2">
      <x:c r="A2" s="14" t="str">
        <x:v>Модель/регион</x:v>
      </x:c>
      <x:c r="B2" s="14" t="str">
        <x:v>Открыть About phone; сверить модель: OnePlus CPH2749, OPPO CPH2791/CPH2797, Honor BKQ-N49 и т.п.</x:v>
      </x:c>
      <x:c r="C2" s="14" t="str">
        <x:v>Да</x:v>
      </x:c>
    </x:row>
    <x:row r="3">
      <x:c r="A3" s="14" t="str">
        <x:v>eSIM</x:v>
      </x:c>
      <x:c r="B3" s="14" t="str">
        <x:v>Settings → Mobile network/SIM → Add eSIM. Должна быть кнопка добавления.</x:v>
      </x:c>
      <x:c r="C3" s="14" t="str">
        <x:v>Да</x:v>
      </x:c>
    </x:row>
    <x:row r="4">
      <x:c r="A4" s="14" t="str">
        <x:v>Google Wallet/Play Integrity</x:v>
      </x:c>
      <x:c r="B4" s="14" t="str">
        <x:v>Поставить Google Wallet, добавить карту/проверить NFC; Play Store должен быть certified.</x:v>
      </x:c>
      <x:c r="C4" s="14" t="str">
        <x:v>Да</x:v>
      </x:c>
    </x:row>
    <x:row r="5">
      <x:c r="A5" s="14" t="str">
        <x:v>LDAC</x:v>
      </x:c>
      <x:c r="B5" s="14" t="str">
        <x:v>Developer options → Bluetooth Audio Codec или в настройках наушников; должен появиться LDAC.</x:v>
      </x:c>
      <x:c r="C5" s="14" t="str">
        <x:v>Да</x:v>
      </x:c>
    </x:row>
    <x:row r="6">
      <x:c r="A6" s="14" t="str">
        <x:v>Камера вечером</x:v>
      </x:c>
      <x:c r="B6" s="14" t="str">
        <x:v>Фото в комнате, коты/движение, 1x/3x, фронталка; видео при ходьбе 20–30 секунд.</x:v>
      </x:c>
      <x:c r="C6" s="14" t="str">
        <x:v>Да</x:v>
      </x:c>
    </x:row>
    <x:row r="7">
      <x:c r="A7" s="14" t="str">
        <x:v>Уведомления</x:v>
      </x:c>
      <x:c r="B7" s="14" t="str">
        <x:v>Telegram/Teams/Outlook/Gmail: сообщения должны приходить без открытия приложения.</x:v>
      </x:c>
      <x:c r="C7" s="14" t="str">
        <x:v>Да</x:v>
      </x:c>
    </x:row>
    <x:row r="8">
      <x:c r="A8" s="14" t="str">
        <x:v>Syncthing</x:v>
      </x:c>
      <x:c r="B8" s="14" t="str">
        <x:v>Отключить оптимизацию батареи; проверить обмен в локалке и фон.</x:v>
      </x:c>
      <x:c r="C8" s="14" t="str">
        <x:v>Важно</x:v>
      </x:c>
    </x:row>
    <x:row r="9">
      <x:c r="A9" s="14" t="str">
        <x:v>Комплект</x:v>
      </x:c>
      <x:c r="B9" s="14" t="str">
        <x:v>ЗУ, кабель, чехол, переходник, пломбы, IMEI на коробке/телефоне.</x:v>
      </x:c>
      <x:c r="C9" s="14" t="str">
        <x:v>Важно</x:v>
      </x:c>
    </x:row>
    <x:row r="10">
      <x:c r="A10" s="14" t="str">
        <x:v>Падения/корпус</x:v>
      </x:c>
      <x:c r="B10" s="14" t="str">
        <x:v>Потрогать скользкость, выступ камеры, качание на столе, удобство без чехла.</x:v>
      </x:c>
      <x:c r="C10" s="14" t="str">
        <x:v>Важно</x:v>
      </x:c>
    </x:row>
    <x:row r="11">
      <x:c r="A11" s="14" t="str">
        <x:v>Фонарик/кнопка</x:v>
      </x:c>
      <x:c r="B11" s="14" t="str">
        <x:v>Назначить Plus/Snap/AI/Side Key на фонарик или быстрый запуск камеры.</x:v>
      </x:c>
      <x:c r="C11" s="14" t="str">
        <x:v>Важно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95" hidden="0" customWidth="1"/>
  </x:cols>
  <x:sheetData>
    <x:row r="1" ht="32" customHeight="1">
      <x:c r="A1" s="6" t="str">
        <x:v>Источник</x:v>
      </x:c>
      <x:c r="B1" s="6" t="str">
        <x:v>Что использовано</x:v>
      </x:c>
      <x:c r="C1" s="6" t="str">
        <x:v>URL</x:v>
      </x:c>
    </x:row>
    <x:row r="2">
      <x:c r="A2" s="14" t="str">
        <x:v>WB OnePlus 15 cheaper card</x:v>
      </x:c>
      <x:c r="B2" s="14" t="str">
        <x:v>официальные спеки / карточка / обзор / поддержка</x:v>
      </x:c>
      <x:c r="C2" s="14" t="str">
        <x:v>https://www.wildberries.ru/catalog/1093491977/detail.aspx?size=1619045324</x:v>
      </x:c>
    </x:row>
    <x:row r="3">
      <x:c r="A3" s="14" t="str">
        <x:v>WB OnePlus 15 reviews card</x:v>
      </x:c>
      <x:c r="B3" s="14" t="str">
        <x:v>официальные спеки / карточка / обзор / поддержка</x:v>
      </x:c>
      <x:c r="C3" s="14" t="str">
        <x:v>https://www.wildberries.ru/catalog/992924241/detail.aspx?size=1485739569</x:v>
      </x:c>
    </x:row>
    <x:row r="4">
      <x:c r="A4" s="14" t="str">
        <x:v>WB OPPO Find X9 Pro</x:v>
      </x:c>
      <x:c r="B4" s="14" t="str">
        <x:v>официальные спеки / карточка / обзор / поддержка</x:v>
      </x:c>
      <x:c r="C4" s="14" t="str">
        <x:v>https://www.wildberries.ru/catalog/803556843/detail.aspx</x:v>
      </x:c>
    </x:row>
    <x:row r="5">
      <x:c r="A5" s="14" t="str">
        <x:v>WB OPPO Find X9</x:v>
      </x:c>
      <x:c r="B5" s="14" t="str">
        <x:v>официальные спеки / карточка / обзор / поддержка</x:v>
      </x:c>
      <x:c r="C5" s="14" t="str">
        <x:v>https://www.wildberries.ru/catalog/803501810/detail.aspx</x:v>
      </x:c>
    </x:row>
    <x:row r="6">
      <x:c r="A6" s="14" t="str">
        <x:v>WB HONOR Magic8 Pro</x:v>
      </x:c>
      <x:c r="B6" s="14" t="str">
        <x:v>официальные спеки / карточка / обзор / поддержка</x:v>
      </x:c>
      <x:c r="C6" s="14" t="str">
        <x:v>https://www.wildberries.ru/catalog/729522986/detail.aspx</x:v>
      </x:c>
    </x:row>
    <x:row r="7">
      <x:c r="A7" s="14" t="str">
        <x:v>OnePlus 15 official specs</x:v>
      </x:c>
      <x:c r="B7" s="14" t="str">
        <x:v>официальные спеки / карточка / обзор / поддержка</x:v>
      </x:c>
      <x:c r="C7" s="14" t="str">
        <x:v>https://www.oneplus.com/global/15/specs</x:v>
      </x:c>
    </x:row>
    <x:row r="8">
      <x:c r="A8" s="14" t="str">
        <x:v>OnePlus 13 official specs</x:v>
      </x:c>
      <x:c r="B8" s="14" t="str">
        <x:v>официальные спеки / карточка / обзор / поддержка</x:v>
      </x:c>
      <x:c r="C8" s="14" t="str">
        <x:v>https://www.oneplus.com/global/13/specs</x:v>
      </x:c>
    </x:row>
    <x:row r="9">
      <x:c r="A9" s="14" t="str">
        <x:v>OPPO Find X9 Pro official specs</x:v>
      </x:c>
      <x:c r="B9" s="14" t="str">
        <x:v>официальные спеки / карточка / обзор / поддержка</x:v>
      </x:c>
      <x:c r="C9" s="14" t="str">
        <x:v>https://www.oppo.com/en/smartphones/series-find-x/find-x9-pro/specs/</x:v>
      </x:c>
    </x:row>
    <x:row r="10">
      <x:c r="A10" s="14" t="str">
        <x:v>OPPO Find X9 official specs</x:v>
      </x:c>
      <x:c r="B10" s="14" t="str">
        <x:v>официальные спеки / карточка / обзор / поддержка</x:v>
      </x:c>
      <x:c r="C10" s="14" t="str">
        <x:v>https://www.oppo.com/en/smartphones/series-find-x/find-x9/specs/</x:v>
      </x:c>
    </x:row>
    <x:row r="11">
      <x:c r="A11" s="14" t="str">
        <x:v>HONOR Magic8 Pro official specs</x:v>
      </x:c>
      <x:c r="B11" s="14" t="str">
        <x:v>официальные спеки / карточка / обзор / поддержка</x:v>
      </x:c>
      <x:c r="C11" s="14" t="str">
        <x:v>https://www.honor.com/global/phones/honor-magic8-pro/spec/</x:v>
      </x:c>
    </x:row>
    <x:row r="12">
      <x:c r="A12" s="14" t="str">
        <x:v>Samsung S25 official</x:v>
      </x:c>
      <x:c r="B12" s="14" t="str">
        <x:v>официальные спеки / карточка / обзор / поддержка</x:v>
      </x:c>
      <x:c r="C12" s="14" t="str">
        <x:v>https://www.samsung.com/africa_en/smartphones/galaxy-s25/</x:v>
      </x:c>
    </x:row>
    <x:row r="13">
      <x:c r="A13" s="14" t="str">
        <x:v>Samsung S25 specs</x:v>
      </x:c>
      <x:c r="B13" s="14" t="str">
        <x:v>официальные спеки / карточка / обзор / поддержка</x:v>
      </x:c>
      <x:c r="C13" s="14" t="str">
        <x:v>https://www.samsung.com/uk/smartphones/galaxy-s25/specs/</x:v>
      </x:c>
    </x:row>
    <x:row r="14">
      <x:c r="A14" s="14" t="str">
        <x:v>Samsung S26 official</x:v>
      </x:c>
      <x:c r="B14" s="14" t="str">
        <x:v>официальные спеки / карточка / обзор / поддержка</x:v>
      </x:c>
      <x:c r="C14" s="14" t="str">
        <x:v>https://www.samsung.com/uk/smartphones/galaxy-s26/</x:v>
      </x:c>
    </x:row>
    <x:row r="15">
      <x:c r="A15" s="14" t="str">
        <x:v>Samsung S26 specs</x:v>
      </x:c>
      <x:c r="B15" s="14" t="str">
        <x:v>официальные спеки / карточка / обзор / поддержка</x:v>
      </x:c>
      <x:c r="C15" s="14" t="str">
        <x:v>https://www.samsung.com/uk/smartphones/galaxy-s26/</x:v>
      </x:c>
    </x:row>
    <x:row r="16">
      <x:c r="A16" s="14" t="str">
        <x:v>Samsung side key</x:v>
      </x:c>
      <x:c r="B16" s="14" t="str">
        <x:v>официальные спеки / карточка / обзор / поддержка</x:v>
      </x:c>
      <x:c r="C16" s="14" t="str">
        <x:v>https://www.samsung.com/ca/support/mobile-devices/use-the-flashlight-on-your-samsung-galaxy/</x:v>
      </x:c>
    </x:row>
    <x:row r="17">
      <x:c r="A17" s="14" t="str">
        <x:v>OnePlus 15 camera review</x:v>
      </x:c>
      <x:c r="B17" s="14" t="str">
        <x:v>официальные спеки / карточка / обзор / поддержка</x:v>
      </x:c>
      <x:c r="C17" s="14" t="str">
        <x:v>https://www.androidcentral.com/phones/oneplus/oneplus-15-camera-review</x:v>
      </x:c>
    </x:row>
    <x:row r="18">
      <x:c r="A18" s="14" t="str">
        <x:v>OnePlus 15 Wired review</x:v>
      </x:c>
      <x:c r="B18" s="14" t="str">
        <x:v>официальные спеки / карточка / обзор / поддержка</x:v>
      </x:c>
      <x:c r="C18" s="14" t="str">
        <x:v>https://www.wired.com/review/oneplus-15</x:v>
      </x:c>
    </x:row>
    <x:row r="19">
      <x:c r="A19" s="14" t="str">
        <x:v>OPPO X9 Pro TechRadar review</x:v>
      </x:c>
      <x:c r="B19" s="14" t="str">
        <x:v>официальные спеки / карточка / обзор / поддержка</x:v>
      </x:c>
      <x:c r="C19" s="14" t="str">
        <x:v>https://www.techradar.com/phones/oppo-phones/oppo-find-x9-pro-review</x:v>
      </x:c>
    </x:row>
    <x:row r="20">
      <x:c r="A20" s="14" t="str">
        <x:v>HONOR Magic8 Pro T3 review</x:v>
      </x:c>
      <x:c r="B20" s="14" t="str">
        <x:v>официальные спеки / карточка / обзор / поддержка</x:v>
      </x:c>
      <x:c r="C20" s="14" t="str">
        <x:v>https://www.t3.com/tech/phones/honor-magic-8-pro-review</x:v>
      </x:c>
    </x:row>
    <x:row r="21">
      <x:c r="A21" s="14" t="str">
        <x:v>HONOR updates</x:v>
      </x:c>
      <x:c r="B21" s="14" t="str">
        <x:v>официальные спеки / карточка / обзор / поддержка</x:v>
      </x:c>
      <x:c r="C21" s="14" t="str">
        <x:v>https://www.honor.com/global/news/android-os-security-honor/</x:v>
      </x:c>
    </x:row>
    <x:row r="22">
      <x:c r="A22" s="14" t="str">
        <x:v>Samsung security</x:v>
      </x:c>
      <x:c r="B22" s="14" t="str">
        <x:v>официальные спеки / карточка / обзор / поддержка</x:v>
      </x:c>
      <x:c r="C22" s="14" t="str">
        <x:v>https://security.samsungmobile.com/workScope.smsb</x:v>
      </x:c>
    </x:row>
    <x:row r="23">
      <x:c r="A23" s="14" t="str">
        <x:v>Дата обновления таблицы</x:v>
      </x:c>
      <x:c r="B23" s="14" t="str">
        <x:v>2026-07-02 21:05</x:v>
      </x:c>
      <x:c r="C23" s="14" t="str">
        <x:v>Asia/Yerevan context</x:v>
      </x:c>
    </x:row>
    <x:row r="24">
      <x:c r="A24" s="14" t="str">
        <x:v>Примечание</x:v>
      </x:c>
      <x:c r="B24" s="14" t="str">
        <x:v>Цены и наличие быстро меняются; WB-цены взяты из загруженных карточек, не live-парсинг.</x:v>
      </x:c>
      <x:c r="C24" s="14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70" hidden="0" customWidth="1"/>
    <x:col min="4" max="4" width="40" hidden="0" customWidth="1"/>
  </x:cols>
  <x:sheetData>
    <x:row r="1" ht="32" customHeight="1">
      <x:c r="A1" s="6" t="str">
        <x:v>Модель</x:v>
      </x:c>
      <x:c r="B1" s="6" t="str">
        <x:v>UAE цена/ориентир</x:v>
      </x:c>
      <x:c r="C1" s="6" t="str">
        <x:v>Комментарий</x:v>
      </x:c>
      <x:c r="D1" s="6" t="str">
        <x:v>Источник</x:v>
      </x:c>
    </x:row>
    <x:row r="2">
      <x:c r="A2" s="14" t="str">
        <x:v>OnePlus 15 16/512</x:v>
      </x:c>
      <x:c r="B2" s="14" t="str">
        <x:v>≈2 899 AED на Amazon.ae / 2 549 AED noon для 256GB China+Global software</x:v>
      </x:c>
      <x:c r="C2" s="14" t="str">
        <x:v>UAE может быть чуть дешевле, но с риском версии/логистики; против WB 67.5к ₽ выгода не очевидна.</x:v>
      </x:c>
      <x:c r="D2" s="14" t="str">
        <x:v>Amazon.ae / noon / DeserTracker</x:v>
      </x:c>
    </x:row>
    <x:row r="3">
      <x:c r="A3" s="14" t="str">
        <x:v>OPPO Find X9 Pro 16/512</x:v>
      </x:c>
      <x:c r="B3" s="14" t="str">
        <x:v>4 249 AED на Pricena/Noon, 5 795 AED Amazon.ae UK import</x:v>
      </x:c>
      <x:c r="C3" s="14" t="str">
        <x:v>Разброс большой; дешёвые варианты могут быть серые/китайские/не локальная гарантия.</x:v>
      </x:c>
      <x:c r="D3" s="14" t="str">
        <x:v>Pricena / Amazon.ae</x:v>
      </x:c>
    </x:row>
    <x:row r="4">
      <x:c r="A4" s="14" t="str">
        <x:v>HONOR Magic8 Pro 16/1TB</x:v>
      </x:c>
      <x:c r="B4" s="14" t="str">
        <x:v>4 439 AED Amazon.ae; 4 568 AED Carrefour; 4 699 AED official/preorder</x:v>
      </x:c>
      <x:c r="C4" s="14" t="str">
        <x:v>Почти как WB 97к ₽ по грубому пересчёту; особой магии Дубая нет.</x:v>
      </x:c>
      <x:c r="D4" s="14" t="str">
        <x:v>Amazon.ae / Carrefour / HONOR UAE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5" hidden="0" customWidth="1"/>
  </x:cols>
  <x:sheetData>
    <x:row r="1" ht="32" customHeight="1">
      <x:c r="A1" s="6" t="str">
        <x:v>UAE price source</x:v>
      </x:c>
      <x:c r="B1" s="6" t="str">
        <x:v>URL</x:v>
      </x:c>
    </x:row>
    <x:row r="2">
      <x:c r="A2" s="14" t="str">
        <x:v>Amazon.ae OnePlus 15</x:v>
      </x:c>
      <x:c r="B2" s="14" t="str">
        <x:v>https://www.amazon.ae/OnePlus-15-Infinite-International-Version/dp/B0FXM38NG5</x:v>
      </x:c>
    </x:row>
    <x:row r="3">
      <x:c r="A3" s="14" t="str">
        <x:v>noon OnePlus listings</x:v>
      </x:c>
      <x:c r="B3" s="14" t="str">
        <x:v>https://www.noon.com/uae-en/electronics-and-mobiles/mobiles-and-accessories/mobiles-20905/oneplus/</x:v>
      </x:c>
    </x:row>
    <x:row r="4">
      <x:c r="A4" s="14" t="str">
        <x:v>DeserTracker OnePlus 15 512GB</x:v>
      </x:c>
      <x:c r="B4" s="14" t="str">
        <x:v>https://www.desertracker.com/products/oneplus-15-512gb</x:v>
      </x:c>
    </x:row>
    <x:row r="5">
      <x:c r="A5" s="14" t="str">
        <x:v>Amazon.ae OPPO Find X9 Pro</x:v>
      </x:c>
      <x:c r="B5" s="14" t="str">
        <x:v>https://www.amazon.ae/OPPO-Android-Type-C-Titanium-Charcoal/dp/B0FY6ZM5JH</x:v>
      </x:c>
    </x:row>
    <x:row r="6">
      <x:c r="A6" s="14" t="str">
        <x:v>Pricena OPPO Find X9 Pro</x:v>
      </x:c>
      <x:c r="B6" s="14" t="str">
        <x:v>https://ae.pricena.com/en/product/oppo-find-x9-pro-price-in-dubai-uae</x:v>
      </x:c>
    </x:row>
    <x:row r="7">
      <x:c r="A7" s="14" t="str">
        <x:v>HONOR UAE Magic8 Pro</x:v>
      </x:c>
      <x:c r="B7" s="14" t="str">
        <x:v>https://www.honor.com/ae-en/phones/honor-magic8-pro/buy/</x:v>
      </x:c>
    </x:row>
    <x:row r="8">
      <x:c r="A8" s="14" t="str">
        <x:v>Amazon.ae HONOR Magic8 Pro</x:v>
      </x:c>
      <x:c r="B8" s="14" t="str">
        <x:v>https://www.amazon.ae/HONOR-Sunrise-Bundle-Protection-Insurance/dp/B0GCKF7GSX</x:v>
      </x:c>
    </x:row>
    <x:row r="9">
      <x:c r="A9" s="14" t="str">
        <x:v>Carrefour UAE HONOR Magic8 Pro</x:v>
      </x:c>
      <x:c r="B9" s="14" t="str">
        <x:v>https://www.carrefouruae.com/mafuae/en/smartphones/honor-magic-8-pro-16-1tb-5g-gold/p/2271182</x:v>
      </x:c>
    </x:row>
  </x:sheetData>
  <x:pageMargins left="0.7" right="0.7" top="0.75" bottom="0.75" header="0.3" footer="0.3"/>
</x:worksheet>
</file>