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9bb59bbfd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d33919cfc55843ea"/>
    <x:sheet xmlns:r="http://schemas.openxmlformats.org/officeDocument/2006/relationships" name="Требования" sheetId="2" r:id="Rb88c20bbcb4d43a4"/>
    <x:sheet xmlns:r="http://schemas.openxmlformats.org/officeDocument/2006/relationships" name="Сравнение" sheetId="3" r:id="R23e67dccafa14317"/>
    <x:sheet xmlns:r="http://schemas.openxmlformats.org/officeDocument/2006/relationships" name="Источники" sheetId="4" r:id="R319aa375eedb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 ₽"/>
    <x:numFmt numFmtId="202" formatCode="#,##0 &quot;AED&quot;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F8FBFD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ADCF8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ADCF8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7970b2bf54163" /><Relationship Type="http://schemas.openxmlformats.org/officeDocument/2006/relationships/theme" Target="/xl/theme/theme1.xml" Id="Rf312d562f4824e21" /><Relationship Type="http://schemas.openxmlformats.org/officeDocument/2006/relationships/sharedStrings" Target="/xl/sharedStrings.xml" Id="R83eed9a5402b42dd" /><Relationship Type="http://schemas.openxmlformats.org/officeDocument/2006/relationships/worksheet" Target="/xl/worksheets/sheet1.xml" Id="Rd33919cfc55843ea" /><Relationship Type="http://schemas.openxmlformats.org/officeDocument/2006/relationships/worksheet" Target="/xl/worksheets/sheet2.xml" Id="Rb88c20bbcb4d43a4" /><Relationship Type="http://schemas.openxmlformats.org/officeDocument/2006/relationships/worksheet" Target="/xl/worksheets/sheet3.xml" Id="R23e67dccafa14317" /><Relationship Type="http://schemas.openxmlformats.org/officeDocument/2006/relationships/worksheet" Target="/xl/worksheets/sheet4.xml" Id="R319aa375eedb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13" hidden="0" customWidth="1"/>
    <x:col min="7" max="7" width="13" hidden="0" customWidth="1"/>
    <x:col min="8" max="8" width="36" hidden="0" customWidth="1"/>
    <x:col min="9" max="9" width="10" hidden="0" customWidth="1"/>
  </x:cols>
  <x:sheetData>
    <x:row r="1" ht="32" customHeight="1">
      <x:c r="A1" s="24" t="str">
        <x:v>Итог v5 — критерии уточнены, цены РФ/UAE оставлены в матрице</x:v>
      </x:c>
      <x:c r="B1" s="25"/>
      <x:c r="C1" s="25"/>
      <x:c r="D1" s="25"/>
      <x:c r="E1" s="25"/>
      <x:c r="F1" s="25"/>
      <x:c r="G1" s="25"/>
      <x:c r="H1" s="25"/>
      <x:c r="I1" s="25"/>
    </x:row>
    <x:row r="2">
      <x:c r="A2" s="25" t="str">
        <x:v>Легенда</x:v>
      </x:c>
      <x:c r="B2" s="25" t="str">
        <x:v>✅ ок / сильная сторона</x:v>
      </x:c>
      <x:c r="C2" s="25" t="str">
        <x:v>⚠️ риск / проверить</x:v>
      </x:c>
      <x:c r="D2" s="25" t="str">
        <x:v>❌ слабое место</x:v>
      </x:c>
      <x:c r="E2" s="25" t="str">
        <x:v>❓ не подтверждено</x:v>
      </x:c>
      <x:c r="F2" s="25" t="str">
        <x:v>➕ бонус</x:v>
      </x:c>
      <x:c r="G2" s="25"/>
      <x:c r="H2" s="25"/>
      <x:c r="I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60" customHeight="1">
      <x:c r="A4" s="26" t="str">
        <x:v>Место</x:v>
      </x:c>
      <x:c r="B4" s="26" t="str">
        <x:v>Модель</x:v>
      </x:c>
      <x:c r="C4" s="26" t="str">
        <x:v>Вердикт</x:v>
      </x:c>
      <x:c r="D4" s="26" t="str">
        <x:v>Почему</x:v>
      </x:c>
      <x:c r="E4" s="26" t="str">
        <x:v>Главный риск</x:v>
      </x:c>
      <x:c r="F4" s="26" t="str">
        <x:v>РФ цена</x:v>
      </x:c>
      <x:c r="G4" s="26" t="str">
        <x:v>UAE landed</x:v>
      </x:c>
      <x:c r="H4" s="26" t="str">
        <x:v>Ценовой вывод</x:v>
      </x:c>
      <x:c r="I4" s="26" t="str">
        <x:v>Скоринг</x:v>
      </x:c>
    </x:row>
    <x:row r="5" ht="60" customHeight="1">
      <x:c r="A5" s="30" t="n">
        <x:v>1</x:v>
      </x:c>
      <x:c r="B5" s="30" t="str">
        <x:v>OnePlus 15 16/512</x:v>
      </x:c>
      <x:c r="C5" s="25" t="str">
        <x:v>✅ Брать как рациональный выбор</x:v>
      </x:c>
      <x:c r="D5" s="25" t="str">
        <x:v>67к, 7300 мАч, Snapdragon, 16/512, eSIM, LDAC, USB 3.2, shortcut/Plus Key</x:v>
      </x:c>
      <x:c r="E5" s="25" t="str">
        <x:v>⚠️ камера вечером / US-комплект / проверить eSIM+GPay</x:v>
      </x:c>
      <x:c r="F5" s="34" t="n">
        <x:v>67476</x:v>
      </x:c>
      <x:c r="G5" s="34" t="n">
        <x:f>'Сравнение'!C14</x:f>
        <x:v>71571.7486</x:v>
      </x:c>
      <x:c r="H5" s="25" t="str">
        <x:v>UAE после доставки/пошлины не даёт явной выгоды против WB</x:v>
      </x:c>
      <x:c r="I5" s="32" t="n">
        <x:v>90</x:v>
      </x:c>
    </x:row>
    <x:row r="6" ht="60" customHeight="1">
      <x:c r="A6" s="30" t="n">
        <x:v>2</x:v>
      </x:c>
      <x:c r="B6" s="30" t="str">
        <x:v>OPPO Find X9 Pro 16/512</x:v>
      </x:c>
      <x:c r="C6" s="25" t="str">
        <x:v>✅ Брать, если камера важнее денег</x:v>
      </x:c>
      <x:c r="D6" s="25" t="str">
        <x:v>50+50+200, 7500 мАч, 50 МП AF фронт, strong camera/battery</x:v>
      </x:c>
      <x:c r="E6" s="25" t="str">
        <x:v>⚠️ 100к, 224 г, 0 отзывов WB, ColorOS/background</x:v>
      </x:c>
      <x:c r="F6" s="34" t="n">
        <x:v>100273</x:v>
      </x:c>
      <x:c r="G6" s="34" t="n">
        <x:f>'Сравнение'!F14</x:f>
        <x:v>102121.3836</x:v>
      </x:c>
      <x:c r="H6" s="25" t="str">
        <x:v>UAE дешевле на бумаге, но чаще Chinese-spec/region risk</x:v>
      </x:c>
      <x:c r="I6" s="32" t="n">
        <x:v>87</x:v>
      </x:c>
    </x:row>
    <x:row r="7" ht="60" customHeight="1">
      <x:c r="A7" s="30" t="n">
        <x:v>3</x:v>
      </x:c>
      <x:c r="B7" s="30" t="str">
        <x:v>OnePlus 13 16/512</x:v>
      </x:c>
      <x:c r="C7" s="25" t="str">
        <x:v>✅ Спокойная альтернатива OP15</x:v>
      </x:c>
      <x:c r="D7" s="25" t="str">
        <x:v>зрелее камера/прошивка, Snapdragon, 6000 мАч, eSIM, LDAC</x:v>
      </x:c>
      <x:c r="E7" s="25" t="str">
        <x:v>⚠️ нет текущей карточки; UAE version/eSIM надо ловить</x:v>
      </x:c>
      <x:c r="F7" s="34"/>
      <x:c r="G7" s="34" t="n">
        <x:f>'Сравнение'!I14</x:f>
        <x:v>64049.598600000005</x:v>
      </x:c>
      <x:c r="H7" s="25" t="str">
        <x:v>UAE может быть интересно, но только Global/eSIM</x:v>
      </x:c>
      <x:c r="I7" s="32" t="n">
        <x:v>86</x:v>
      </x:c>
    </x:row>
    <x:row r="8" ht="60" customHeight="1">
      <x:c r="A8" s="30" t="n">
        <x:v>4</x:v>
      </x:c>
      <x:c r="B8" s="30" t="str">
        <x:v>OPPO Find X9 16/512</x:v>
      </x:c>
      <x:c r="C8" s="25" t="str">
        <x:v>⚠️ Хороший, но цена зажата</x:v>
      </x:c>
      <x:c r="D8" s="25" t="str">
        <x:v>203 г, 7025 мАч, Dimensity 9500, eSIM, LDAC; эргономичнее Pro</x:v>
      </x:c>
      <x:c r="E8" s="25" t="str">
        <x:v>⚠️ 87к при OP15 за 67к; камеры слабее Pro; 0 отзывов WB</x:v>
      </x:c>
      <x:c r="F8" s="34" t="n">
        <x:v>87114</x:v>
      </x:c>
      <x:c r="G8" s="34" t="n">
        <x:f>'Сравнение'!G14</x:f>
        <x:v>91202.1336</x:v>
      </x:c>
      <x:c r="H8" s="25" t="str">
        <x:v>UAE/РФ всё равно не делает его лучше OP15</x:v>
      </x:c>
      <x:c r="I8" s="32" t="n">
        <x:v>86</x:v>
      </x:c>
    </x:row>
    <x:row r="9" ht="60" customHeight="1">
      <x:c r="A9" s="30" t="n">
        <x:v>5</x:v>
      </x:c>
      <x:c r="B9" s="30" t="str">
        <x:v>Samsung S25+ 512</x:v>
      </x:c>
      <x:c r="C9" s="25" t="str">
        <x:v>⚠️ Стабильно, но невыгодно</x:v>
      </x:c>
      <x:c r="D9" s="25" t="str">
        <x:v>One UI, Windows Link, 190 г, Snapdragon, предсказуемая камера</x:v>
      </x:c>
      <x:c r="E9" s="25" t="str">
        <x:v>❌ 4900 мАч; нерадикальный апгрейд батареи</x:v>
      </x:c>
      <x:c r="F9" s="34"/>
      <x:c r="G9" s="34" t="n">
        <x:f>'Сравнение'!E14</x:f>
        <x:v>78851.2486</x:v>
      </x:c>
      <x:c r="H9" s="25" t="str">
        <x:v>UAE цену смотреть можно, но модель не решает боль батареи</x:v>
      </x:c>
      <x:c r="I9" s="32" t="n">
        <x:v>84</x:v>
      </x:c>
    </x:row>
    <x:row r="10" ht="60" customHeight="1">
      <x:c r="A10" s="30" t="n">
        <x:v>6</x:v>
      </x:c>
      <x:c r="B10" s="30" t="str">
        <x:v>HONOR Magic8 Pro 16/1TB</x:v>
      </x:c>
      <x:c r="C10" s="25" t="str">
        <x:v>⚠️ Интересный, но проверять регион</x:v>
      </x:c>
      <x:c r="D10" s="25" t="str">
        <x:v>1 ТБ, 7100 мАч, 200 МП tele, 3D face, отзывы WB есть</x:v>
      </x:c>
      <x:c r="E10" s="25" t="str">
        <x:v>⚠️ eSIM/LDAC в карточке неочевидны; MagicOS/background; тяжёлый</x:v>
      </x:c>
      <x:c r="F10" s="34" t="n">
        <x:v>97189</x:v>
      </x:c>
      <x:c r="G10" s="34" t="n">
        <x:f>'Сравнение'!H14</x:f>
        <x:v>104547.8836</x:v>
      </x:c>
      <x:c r="H10" s="25" t="str">
        <x:v>UAE почти как WB после расходов</x:v>
      </x:c>
      <x:c r="I10" s="32" t="n">
        <x:v>82</x:v>
      </x:c>
    </x:row>
    <x:row r="11" ht="60" customHeight="1">
      <x:c r="A11" s="30" t="n">
        <x:v>7</x:v>
      </x:c>
      <x:c r="B11" s="30" t="str">
        <x:v>Samsung S26+ 512</x:v>
      </x:c>
      <x:c r="C11" s="25" t="str">
        <x:v>❌ Не брать под эту задачу</x:v>
      </x:c>
      <x:c r="D11" s="25" t="str">
        <x:v>Samsung/Windows/стабильность есть</x:v>
      </x:c>
      <x:c r="E11" s="25" t="str">
        <x:v>❌ 4900 мАч + цена + регион/Exynos; камеры без вау</x:v>
      </x:c>
      <x:c r="F11" s="34"/>
      <x:c r="G11" s="34" t="n">
        <x:f>'Сравнение'!D14</x:f>
        <x:v>88751.3686</x:v>
      </x:c>
      <x:c r="H11" s="25" t="str">
        <x:v>Даже если UAE дешевле, задача решается хуже</x:v>
      </x:c>
      <x:c r="I11" s="32" t="n">
        <x:v>80</x:v>
      </x:c>
    </x:row>
    <x:row r="12" ht="60" customHeight="1">
      <x:c r="A12" s="25"/>
      <x:c r="B12" s="25"/>
      <x:c r="C12" s="25"/>
      <x:c r="D12" s="25"/>
      <x:c r="E12" s="25"/>
      <x:c r="F12" s="25"/>
      <x:c r="G12" s="25"/>
      <x:c r="H12" s="25"/>
      <x:c r="I12" s="25"/>
    </x:row>
    <x:row r="13" ht="60" customHeight="1">
      <x:c r="A13" s="25" t="str">
        <x:v>Короткий вывод</x:v>
      </x:c>
      <x:c r="B13" s="25" t="str">
        <x:v>OnePlus 15 остаётся №1, но из-за нового Must-have «честность карточки/версия» его надо жёстко проверить при получении. X9 Pro — камера/battery premium, но вес и 100к. S25+/S26+ комфортнее и стабильнее, но батарея не решает твою главную боль.</x:v>
      </x:c>
      <x:c r="C13" s="25"/>
      <x:c r="D13" s="25"/>
      <x:c r="E13" s="25"/>
      <x:c r="F13" s="25"/>
      <x:c r="G13" s="25"/>
      <x:c r="H13" s="25"/>
      <x:c r="I13" s="25"/>
    </x:row>
  </x:sheetData>
  <x:mergeCells>
    <x:mergeCell ref="A1:I1"/>
  </x:mergeCells>
  <x:conditionalFormatting sqref="C5:E11">
    <x:cfRule type="expression" dxfId="4" priority="1">
      <x:formula>ISNUMBER(SEARCH("✅",C5))</x:formula>
    </x:cfRule>
    <x:cfRule type="expression" dxfId="5" priority="2">
      <x:formula>ISNUMBER(SEARCH("⚠️",C5))</x:formula>
    </x:cfRule>
    <x:cfRule type="expression" dxfId="6" priority="3">
      <x:formula>ISNUMBER(SEARCH("❌",C5))</x:formula>
    </x:cfRule>
    <x:cfRule type="expression" dxfId="7" priority="4">
      <x:formula>ISNUMBER(SEARCH("❓",C5))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2" customHeight="1">
      <x:c r="A1" s="24" t="str">
        <x:v>Требования + как проверять v5</x:v>
      </x:c>
      <x:c r="B1" s="25"/>
      <x:c r="C1" s="25"/>
      <x:c r="D1" s="25"/>
      <x:c r="E1" s="25"/>
      <x:c r="F1" s="25"/>
      <x:c r="G1" s="25"/>
    </x:row>
    <x:row r="2">
      <x:c r="A2" s="25"/>
      <x:c r="B2" s="25"/>
      <x:c r="C2" s="25"/>
      <x:c r="D2" s="25"/>
      <x:c r="E2" s="25"/>
      <x:c r="F2" s="25"/>
      <x:c r="G2" s="25"/>
    </x:row>
    <x:row r="3" ht="30" customHeight="1">
      <x:c r="A3" s="26" t="str">
        <x:v>Критерий</x:v>
      </x:c>
      <x:c r="B3" s="26" t="str">
        <x:v>Вес</x:v>
      </x:c>
      <x:c r="C3" s="26" t="str">
        <x:v>Критичность</x:v>
      </x:c>
      <x:c r="D3" s="26" t="str">
        <x:v>Интерпретация под тебя</x:v>
      </x:c>
      <x:c r="E3" s="26" t="str">
        <x:v>Что валит выбор</x:v>
      </x:c>
      <x:c r="F3" s="26" t="str">
        <x:v>Как проверить</x:v>
      </x:c>
      <x:c r="G3" s="26" t="str">
        <x:v>Где отражено в матрице</x:v>
      </x:c>
    </x:row>
    <x:row r="4" ht="60" customHeight="1">
      <x:c r="A4" s="30" t="str">
        <x:v>Регион / версия / честность карточки</x:v>
      </x:c>
      <x:c r="B4" s="30" t="n">
        <x:v>12</x:v>
      </x:c>
      <x:c r="C4" s="30" t="str">
        <x:v>Must</x:v>
      </x:c>
      <x:c r="D4" s="25" t="str">
        <x:v>Global/EU/UAE/US версия должна быть понятна; eSIM, Google Pay, bands, модель и комплект должны подтверждаться.</x:v>
      </x:c>
      <x:c r="E4" s="25" t="str">
        <x:v>Мутная карточка, противоречия по eSIM/комплекту/модели, CN/урезанная версия без явного указания.</x:v>
      </x:c>
      <x:c r="F4" s="25" t="str">
        <x:v>До оплаты: SKU/модель/регион у продавца. При получении: коробка, About phone, IMEI, EID, пломбы, комплект, возвратный срок.</x:v>
      </x:c>
      <x:c r="G4" s="25" t="str">
        <x:v>Покупка → Регион/версия</x:v>
      </x:c>
    </x:row>
    <x:row r="5" ht="60" customHeight="1">
      <x:c r="A5" s="30" t="str">
        <x:v>eSIM + физическая SIM</x:v>
      </x:c>
      <x:c r="B5" s="30" t="n">
        <x:v>12</x:v>
      </x:c>
      <x:c r="C5" s="30" t="str">
        <x:v>Must</x:v>
      </x:c>
      <x:c r="D5" s="25" t="str">
        <x:v>Поездки/Европа: eSIM отдельно, основная физическая SIM отдельно.</x:v>
      </x:c>
      <x:c r="E5" s="25" t="str">
        <x:v>Нет eSIM или регион без eSIM.</x:v>
      </x:c>
      <x:c r="F5" s="25" t="str">
        <x:v>Settings → SIM/eSIM, EID, Add eSIM; сверить модель/регион.</x:v>
      </x:c>
      <x:c r="G5" s="25" t="str">
        <x:v>Совместимость → SIM/eSIM</x:v>
      </x:c>
    </x:row>
    <x:row r="6" ht="60" customHeight="1">
      <x:c r="A6" s="30" t="str">
        <x:v>Быстрый повседневный сценарий без раздражения</x:v>
      </x:c>
      <x:c r="B6" s="30" t="n">
        <x:v>12</x:v>
      </x:c>
      <x:c r="C6" s="30" t="str">
        <x:v>Must</x:v>
      </x:c>
      <x:c r="D6" s="25" t="str">
        <x:v>Камера/карты/Telegram/браузер/заметки/поиск должны открываться быстро, без тупняков и ожидания.</x:v>
      </x:c>
      <x:c r="E6" s="25" t="str">
        <x:v>Микролаги, долгие запуски, подвисания UI, повторный старт приложений.</x:v>
      </x:c>
      <x:c r="F6" s="25" t="str">
        <x:v>15 минут: камера → карты → Telegram → браузер → заметка → поиск → назад; смотреть задержки и перезагрузки.</x:v>
      </x:c>
      <x:c r="G6" s="25" t="str">
        <x:v>UX → быстрый сценарий</x:v>
      </x:c>
    </x:row>
    <x:row r="7" ht="60" customHeight="1">
      <x:c r="A7" s="30" t="str">
        <x:v>Многозадачность без вылетов</x:v>
      </x:c>
      <x:c r="B7" s="30" t="n">
        <x:v>11</x:v>
      </x:c>
      <x:c r="C7" s="30" t="str">
        <x:v>Must</x:v>
      </x:c>
      <x:c r="D7" s="25" t="str">
        <x:v>Telegram + карты/2ГИС/браузер/Teams/музыка не должны выбивать друг друга из памяти.</x:v>
      </x:c>
      <x:c r="E7" s="25" t="str">
        <x:v>Telegram/карты/браузер/Teams перезапускаются при обычном переключении.</x:v>
      </x:c>
      <x:c r="F7" s="25" t="str">
        <x:v>Открыть Telegram, 2ГИС, Google Maps, браузер, Teams, MX Player/музыку; 10 минут переключаться.</x:v>
      </x:c>
      <x:c r="G7" s="25" t="str">
        <x:v>Запас → RAM/фон</x:v>
      </x:c>
    </x:row>
    <x:row r="8" ht="60" customHeight="1">
      <x:c r="A8" s="30" t="str">
        <x:v>Запас на 2–3 года</x:v>
      </x:c>
      <x:c r="B8" s="30" t="n">
        <x:v>10</x:v>
      </x:c>
      <x:c r="C8" s="30" t="str">
        <x:v>Must</x:v>
      </x:c>
      <x:c r="D8" s="25" t="str">
        <x:v>Флагманский SoC, 12–16 ГБ RAM, нормальные обновления, не печка.</x:v>
      </x:c>
      <x:c r="E8" s="25" t="str">
        <x:v>Слабый SoC, 8 ГБ RAM, плохая поддержка, нагрев/троттлинг в обычных задачах.</x:v>
      </x:c>
      <x:c r="F8" s="25" t="str">
        <x:v>About phone + CPU-Z/AIDA64; security patch; 15–20 минут навигация/камера/браузер и проверить нагрев.</x:v>
      </x:c>
      <x:c r="G8" s="25" t="str">
        <x:v>Запас → SoC/RAM/OS</x:v>
      </x:c>
    </x:row>
    <x:row r="9" ht="60" customHeight="1">
      <x:c r="A9" s="30" t="str">
        <x:v>Камера стабильно лучше S10 и не бесит</x:v>
      </x:c>
      <x:c r="B9" s="30" t="n">
        <x:v>13</x:v>
      </x:c>
      <x:c r="C9" s="30" t="str">
        <x:v>Must</x:v>
      </x:c>
      <x:c r="D9" s="25" t="str">
        <x:v>Фото/видео/селфи должны быть стабильно лучше S10 без ощущения «новая камера, а бесит».</x:v>
      </x:c>
      <x:c r="E9" s="25" t="str">
        <x:v>Дёрганое видео, странный HDR, мыло вечером, плохой автофокус, сильные галлюцинации обработки.</x:v>
      </x:c>
      <x:c r="F9" s="25" t="str">
        <x:v>Комната вечером, кот/движение, текст, 1x/3x, фронталка, видео 4K ходьбой.</x:v>
      </x:c>
      <x:c r="G9" s="25" t="str">
        <x:v>Камера → практический риск</x:v>
      </x:c>
    </x:row>
    <x:row r="10" ht="60" customHeight="1">
      <x:c r="A10" s="30" t="str">
        <x:v>Прошивка без китайских костылей</x:v>
      </x:c>
      <x:c r="B10" s="30" t="n">
        <x:v>12</x:v>
      </x:c>
      <x:c r="C10" s="30" t="str">
        <x:v>Must</x:v>
      </x:c>
      <x:c r="D10" s="25" t="str">
        <x:v>Уведомления, банки, Teams/Outlook, Gmail, Syncthing без шаманства.</x:v>
      </x:c>
      <x:c r="E10" s="25" t="str">
        <x:v>Кривые уведомления, агрессивное убийство фона, реклама, перепрошивка/долгое допиливание.</x:v>
      </x:c>
      <x:c r="F10" s="25" t="str">
        <x:v>Telegram/Gmail/Teams push; battery restrictions; Syncthing overnight; автозапуск/фоновые разрешения.</x:v>
      </x:c>
      <x:c r="G10" s="25" t="str">
        <x:v>UX → прошивка/фон</x:v>
      </x:c>
    </x:row>
    <x:row r="11" ht="60" customHeight="1">
      <x:c r="A11" s="30" t="str">
        <x:v>Google Pay / Google apps</x:v>
      </x:c>
      <x:c r="B11" s="30" t="n">
        <x:v>6</x:v>
      </x:c>
      <x:c r="C11" s="30" t="str">
        <x:v>Must</x:v>
      </x:c>
      <x:c r="D11" s="25" t="str">
        <x:v>Google Wallet, банки, Maps/Gmail/Play Services критичны.</x:v>
      </x:c>
      <x:c r="E11" s="25" t="str">
        <x:v>CN-прошивка, broken Play Integrity, нет NFC/Wallet.</x:v>
      </x:c>
      <x:c r="F11" s="25" t="str">
        <x:v>Play Store certified, Wallet card, NFC, банки, Play Integrity по возможности.</x:v>
      </x:c>
      <x:c r="G11" s="25" t="str">
        <x:v>Совместимость → Google Pay</x:v>
      </x:c>
    </x:row>
    <x:row r="12" ht="60" customHeight="1">
      <x:c r="A12" s="30" t="str">
        <x:v>Разблокировка</x:v>
      </x:c>
      <x:c r="B12" s="30" t="n">
        <x:v>6</x:v>
      </x:c>
      <x:c r="C12" s="30" t="str">
        <x:v>Must</x:v>
      </x:c>
      <x:c r="D12" s="25" t="str">
        <x:v>Быстро и чётко, без регулярного PIN.</x:v>
      </x:c>
      <x:c r="E12" s="25" t="str">
        <x:v>Медленный/капризный fingerprint/face.</x:v>
      </x:c>
      <x:c r="F12" s="25" t="str">
        <x:v>2 пальца; 20 unlock сухим/влажным пальцем; face в комнате.</x:v>
      </x:c>
      <x:c r="G12" s="25" t="str">
        <x:v>UX → разблокировка</x:v>
      </x:c>
    </x:row>
    <x:row r="13" ht="60" customHeight="1">
      <x:c r="A13" s="30" t="str">
        <x:v>LDAC</x:v>
      </x:c>
      <x:c r="B13" s="30" t="n">
        <x:v>5</x:v>
      </x:c>
      <x:c r="C13" s="30" t="str">
        <x:v>Must</x:v>
      </x:c>
      <x:c r="D13" s="25" t="str">
        <x:v>Для беспроводных наушников/музыки.</x:v>
      </x:c>
      <x:c r="E13" s="25" t="str">
        <x:v>Нет LDAC или кодек недоступен с твоими наушниками.</x:v>
      </x:c>
      <x:c r="F13" s="25" t="str">
        <x:v>Developer options → Bluetooth audio codec с твоими наушниками.</x:v>
      </x:c>
      <x:c r="G13" s="25" t="str">
        <x:v>Совместимость → LDAC</x:v>
      </x:c>
    </x:row>
    <x:row r="14" ht="60" customHeight="1">
      <x:c r="A14" s="30" t="str">
        <x:v>Память 256 ГБ+</x:v>
      </x:c>
      <x:c r="B14" s="30" t="n">
        <x:v>7</x:v>
      </x:c>
      <x:c r="C14" s="30" t="str">
        <x:v>Must</x:v>
      </x:c>
      <x:c r="D14" s="25" t="str">
        <x:v>Минимум 256 ГБ; меньше не рассматривать.</x:v>
      </x:c>
      <x:c r="E14" s="25" t="str">
        <x:v>&lt;256 ГБ.</x:v>
      </x:c>
      <x:c r="F14" s="25" t="str">
        <x:v>About phone → Storage; сверить SKU коробка/система.</x:v>
      </x:c>
      <x:c r="G14" s="25" t="str">
        <x:v>Совместимость → Память</x:v>
      </x:c>
    </x:row>
    <x:row r="15" ht="60" customHeight="1">
      <x:c r="A15" s="30" t="str">
        <x:v>512 ГБ</x:v>
      </x:c>
      <x:c r="B15" s="30" t="n">
        <x:v>4</x:v>
      </x:c>
      <x:c r="C15" s="30" t="str">
        <x:v>High / Bonus</x:v>
      </x:c>
      <x:c r="D15" s="25" t="str">
        <x:v>Сильный плюс: сейчас 170 ГБ хватает, но запас приятен.</x:v>
      </x:c>
      <x:c r="E15" s="25" t="str">
        <x:v>Не валит выбор, если есть 256+ и цена хорошая.</x:v>
      </x:c>
      <x:c r="F15" s="25" t="str">
        <x:v>Сверить SKU/коробку/систему; посмотреть доступное место после настройки.</x:v>
      </x:c>
      <x:c r="G15" s="25" t="str">
        <x:v>Совместимость → Память</x:v>
      </x:c>
    </x:row>
    <x:row r="16" ht="60" customHeight="1">
      <x:c r="A16" s="30" t="str">
        <x:v>Быстрое фото «достал → щёлкнул → норм»</x:v>
      </x:c>
      <x:c r="B16" s="30" t="n">
        <x:v>10</x:v>
      </x:c>
      <x:c r="C16" s="30" t="str">
        <x:v>High</x:v>
      </x:c>
      <x:c r="D16" s="25" t="str">
        <x:v>Быстрый запуск камеры, норм автофокус, минимум смаза, без раздражения.</x:v>
      </x:c>
      <x:c r="E16" s="25" t="str">
        <x:v>Камера долго стартует, ловит фокус, смазывает, видео/фото требуют возни.</x:v>
      </x:c>
      <x:c r="F16" s="25" t="str">
        <x:v>Двойное нажатие/shortcut; 10 быстрых кадров в помещении/на улице; движение кота/руки.</x:v>
      </x:c>
      <x:c r="G16" s="25" t="str">
        <x:v>Камера → быстрый запуск/фото</x:v>
      </x:c>
    </x:row>
    <x:row r="17" ht="60" customHeight="1">
      <x:c r="A17" s="30" t="str">
        <x:v>Батарея для 10–11 часов GPS-хайка</x:v>
      </x:c>
      <x:c r="B17" s="30" t="n">
        <x:v>10</x:v>
      </x:c>
      <x:c r="C17" s="30" t="str">
        <x:v>High</x:v>
      </x:c>
      <x:c r="D17" s="25" t="str">
        <x:v>Очень желательно, но павербанк допустим; при равных сильно решает.</x:v>
      </x:c>
      <x:c r="E17" s="25" t="str">
        <x:v>Маленькая батарея + высокий расход GPS/экран/нагрев.</x:v>
      </x:c>
      <x:c r="F17" s="25" t="str">
        <x:v>1–2 часа Organic Maps/Wikiloc: %/час, нагрев, GPS lock; первый хайк с powerbank.</x:v>
      </x:c>
      <x:c r="G17" s="25" t="str">
        <x:v>Автономность → хайк</x:v>
      </x:c>
    </x:row>
    <x:row r="18" ht="60" customHeight="1">
      <x:c r="A18" s="30" t="str">
        <x:v>Эргономика: вес / толщина / удобство без чехла</x:v>
      </x:c>
      <x:c r="B18" s="30" t="n">
        <x:v>9</x:v>
      </x:c>
      <x:c r="C18" s="30" t="str">
        <x:v>High</x:v>
      </x:c>
      <x:c r="D18" s="25" t="str">
        <x:v>Тяжёлая лопата — сильный минус. Не стоп-фактор, но серьёзный штраф.</x:v>
      </x:c>
      <x:c r="E18" s="25" t="str">
        <x:v>&gt;220 г, толстый/скользкий корпус, плохо лежит в руке/кармане.</x:v>
      </x:c>
      <x:c r="F18" s="25" t="str">
        <x:v>Подержать 5–10 минут; одной рукой; карман; сравнить с S10; проверить качание на столе.</x:v>
      </x:c>
      <x:c r="G18" s="25" t="str">
        <x:v>UX → эргономика</x:v>
      </x:c>
    </x:row>
    <x:row r="19" ht="60" customHeight="1">
      <x:c r="A19" s="30" t="str">
        <x:v>Прочность / материалы / жизнь без чехла</x:v>
      </x:c>
      <x:c r="B19" s="30" t="n">
        <x:v>8</x:v>
      </x:c>
      <x:c r="C19" s="30" t="str">
        <x:v>High</x:v>
      </x:c>
      <x:c r="D19" s="25" t="str">
        <x:v>Роняешь регулярно, чехлы не любишь; важны стекло, рамка, IP, скользкость, блок камер.</x:v>
      </x:c>
      <x:c r="E19" s="25" t="str">
        <x:v>Скользкий стеклянный кирпич, слабая защита, огромный выступ камер без нормальной устойчивости.</x:v>
      </x:c>
      <x:c r="F19" s="25" t="str">
        <x:v>Осмотр корпуса, IP/стекло по спекам, grip-test сухой рукой, стол/качание, защитная плёнка.</x:v>
      </x:c>
      <x:c r="G19" s="25" t="str">
        <x:v>UX → материалы/IP</x:v>
      </x:c>
    </x:row>
    <x:row r="20" ht="60" customHeight="1">
      <x:c r="A20" s="30" t="str">
        <x:v>Нормальная связь в поездках: модем, bands, GPS, Европа/Армения</x:v>
      </x:c>
      <x:c r="B20" s="30" t="n">
        <x:v>9</x:v>
      </x:c>
      <x:c r="C20" s="30" t="str">
        <x:v>High</x:v>
      </x:c>
      <x:c r="D20" s="25" t="str">
        <x:v>5G бонус, но нормальные частоты, GPS и стабильный модем важнее.</x:v>
      </x:c>
      <x:c r="E20" s="25" t="str">
        <x:v>Урезанные bands, плохой GPS lock, региональная версия без нужных частот.</x:v>
      </x:c>
      <x:c r="F20" s="25" t="str">
        <x:v>SKU/region, LTE/5G bands, GPS на улице, звонок/инет, hotspot, роуминговая/eSIM проверка.</x:v>
      </x:c>
      <x:c r="G20" s="25" t="str">
        <x:v>Связь → bands/GPS</x:v>
      </x:c>
    </x:row>
    <x:row r="21" ht="60" customHeight="1">
      <x:c r="A21" s="30" t="str">
        <x:v>Быстрый фонарик / shortcut без разблокировки</x:v>
      </x:c>
      <x:c r="B21" s="30" t="n">
        <x:v>6</x:v>
      </x:c>
      <x:c r="C21" s="30" t="str">
        <x:v>High</x:v>
      </x:c>
      <x:c r="D21" s="25" t="str">
        <x:v>Аналог Bixby-кнопки или удобный жест/кнопка/shortcut.</x:v>
      </x:c>
      <x:c r="E21" s="25" t="str">
        <x:v>Нельзя быстро назначить фонарик/режимы/плеер без разблокировки.</x:v>
      </x:c>
      <x:c r="F21" s="25" t="str">
        <x:v>Buttons/Gestures: double press/hold/key shortcuts; фонарик с заблокированного экрана.</x:v>
      </x:c>
      <x:c r="G21" s="25" t="str">
        <x:v>UX → кнопка/фонарик</x:v>
      </x:c>
    </x:row>
    <x:row r="22" ht="60" customHeight="1">
      <x:c r="A22" s="30" t="str">
        <x:v>Экран/динамики</x:v>
      </x:c>
      <x:c r="B22" s="30" t="n">
        <x:v>4</x:v>
      </x:c>
      <x:c r="C22" s="30" t="str">
        <x:v>Medium</x:v>
      </x:c>
      <x:c r="D22" s="25" t="str">
        <x:v>AMOLED, нормальная цветопередача, динамики для аудиокниг/душа.</x:v>
      </x:c>
      <x:c r="E22" s="25" t="str">
        <x:v>Тусклый экран, плохие динамики, неприятные цвета без нормального режима.</x:v>
      </x:c>
      <x:c r="F22" s="25" t="str">
        <x:v>Natural/Vivid, яркость на улице, аудиокнига на 70–90%, голоса без хрипа.</x:v>
      </x:c>
      <x:c r="G22" s="25" t="str">
        <x:v>UX → экран/звук</x:v>
      </x:c>
    </x:row>
    <x:row r="23" ht="60" customHeight="1">
      <x:c r="A23" s="30" t="str">
        <x:v>Windows-связка</x:v>
      </x:c>
      <x:c r="B23" s="30" t="n">
        <x:v>3</x:v>
      </x:c>
      <x:c r="C23" s="30" t="str">
        <x:v>Bonus / Medium</x:v>
      </x:c>
      <x:c r="D23" s="25" t="str">
        <x:v>Уважаемая Samsung-фича, но не ведущая; конкурент может компенсировать батареей/камерой.</x:v>
      </x:c>
      <x:c r="E23" s="25" t="str">
        <x:v>Не валит выбор.</x:v>
      </x:c>
      <x:c r="F23" s="25" t="str">
        <x:v>Phone Link/Link to Windows: уведомления, фото, звонки, копипаста.</x:v>
      </x:c>
      <x:c r="G23" s="25" t="str">
        <x:v>UX → Windows</x:v>
      </x:c>
    </x:row>
    <x:row r="24" ht="60" customHeight="1">
      <x:c r="A24" s="30" t="str">
        <x:v>Дизайн / необычность / удовольствие от вещи</x:v>
      </x:c>
      <x:c r="B24" s="30" t="n">
        <x:v>3</x:v>
      </x:c>
      <x:c r="C24" s="30" t="str">
        <x:v>Bonus</x:v>
      </x:c>
      <x:c r="D24" s="25" t="str">
        <x:v>Ты любишь необычность и удовольствие от вещи; при близких вариантах может решать.</x:v>
      </x:c>
      <x:c r="E24" s="25" t="str">
        <x:v>Не валит выбор, если телефон объективно лучше.</x:v>
      </x:c>
      <x:c r="F24" s="25" t="str">
        <x:v>Вживую/фото: цвет, фактура, блок камер, тактильность, «хочу держать».</x:v>
      </x:c>
      <x:c r="G24" s="25" t="str">
        <x:v>UX → дизайн</x:v>
      </x:c>
    </x:row>
    <x:row r="25" ht="60" customHeight="1">
      <x:c r="A25" s="30" t="str">
        <x:v>SD-карта</x:v>
      </x:c>
      <x:c r="B25" s="30" t="n">
        <x:v>1</x:v>
      </x:c>
      <x:c r="C25" s="30" t="str">
        <x:v>Bonus</x:v>
      </x:c>
      <x:c r="D25" s="25" t="str">
        <x:v>Приятно, но не критично.</x:v>
      </x:c>
      <x:c r="E25" s="25" t="str">
        <x:v>Не валит выбор.</x:v>
      </x:c>
      <x:c r="F25" s="25" t="str">
        <x:v>Проверить слот/спеки; у всех кандидатов, по текущим данным, SD нет.</x:v>
      </x:c>
      <x:c r="G25" s="25" t="str">
        <x:v>Совместимость → Память</x:v>
      </x:c>
    </x:row>
    <x:row r="26" ht="60" customHeight="1">
      <x:c r="A26" s="30" t="str">
        <x:v>Беспроводная зарядка</x:v>
      </x:c>
      <x:c r="B26" s="30" t="n">
        <x:v>1</x:v>
      </x:c>
      <x:c r="C26" s="30" t="str">
        <x:v>Пофиг</x:v>
      </x:c>
      <x:c r="D26" s="25" t="str">
        <x:v>Не влияет на решение.</x:v>
      </x:c>
      <x:c r="E26" s="25" t="str">
        <x:v>—</x:v>
      </x:c>
      <x:c r="F26" s="25" t="str">
        <x:v>Просто отметить наличие.</x:v>
      </x:c>
      <x:c r="G26" s="25" t="str">
        <x:v>Автономность → зарядка</x:v>
      </x:c>
    </x:row>
  </x:sheetData>
  <x:mergeCells>
    <x:mergeCell ref="A1:G1"/>
  </x:mergeCells>
  <x:conditionalFormatting sqref="C4:C26">
    <x:cfRule type="expression" dxfId="8" priority="1">
      <x:formula>ISNUMBER(SEARCH("Must",C4))</x:formula>
    </x:cfRule>
    <x:cfRule type="expression" dxfId="9" priority="2">
      <x:formula>ISNUMBER(SEARCH("High",C4))</x:formula>
    </x:cfRule>
    <x:cfRule type="expression" dxfId="10" priority="3">
      <x:formula>ISNUMBER(SEARCH("Bonus",C4))</x:formula>
    </x:cfRule>
    <x:cfRule type="expression" dxfId="11" priority="4">
      <x:formula>ISNUMBER(SEARCH("Пофиг",C4))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3" hidden="0" customWidth="1"/>
    <x:col min="4" max="4" width="33" hidden="0" customWidth="1"/>
    <x:col min="5" max="5" width="33" hidden="0" customWidth="1"/>
    <x:col min="6" max="6" width="33" hidden="0" customWidth="1"/>
    <x:col min="7" max="7" width="33" hidden="0" customWidth="1"/>
    <x:col min="8" max="8" width="33" hidden="0" customWidth="1"/>
    <x:col min="9" max="9" width="33" hidden="0" customWidth="1"/>
  </x:cols>
  <x:sheetData>
    <x:row r="1" ht="32" customHeight="1">
      <x:c r="A1" s="24" t="str">
        <x:v>Единая матрица v5: требования + спеки + цены РФ/UAE с доставкой/пошлиной</x:v>
      </x:c>
      <x:c r="B1" s="25"/>
      <x:c r="C1" s="25"/>
      <x:c r="D1" s="25"/>
      <x:c r="E1" s="25"/>
      <x:c r="F1" s="25"/>
      <x:c r="G1" s="25"/>
      <x:c r="H1" s="25"/>
      <x:c r="I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</x:row>
    <x:row r="3" ht="30" customHeight="1">
      <x:c r="A3" s="26" t="str">
        <x:v>Блок</x:v>
      </x:c>
      <x:c r="B3" s="26" t="str">
        <x:v>Критерий / строка</x:v>
      </x:c>
      <x:c r="C3" s="26" t="str">
        <x:v>OnePlus 15
16/512 US/Global</x:v>
      </x:c>
      <x:c r="D3" s="26" t="str">
        <x:v>Samsung S26+
512</x:v>
      </x:c>
      <x:c r="E3" s="26" t="str">
        <x:v>Samsung S25+
512</x:v>
      </x:c>
      <x:c r="F3" s="26" t="str">
        <x:v>OPPO Find X9 Pro
16/512 Global</x:v>
      </x:c>
      <x:c r="G3" s="26" t="str">
        <x:v>OPPO Find X9
16/512 Global</x:v>
      </x:c>
      <x:c r="H3" s="26" t="str">
        <x:v>HONOR Magic8 Pro
16/1TB Global</x:v>
      </x:c>
      <x:c r="I3" s="26" t="str">
        <x:v>OnePlus 13
16/512 Global</x:v>
      </x:c>
    </x:row>
    <x:row r="4" ht="60" customHeight="1">
      <x:c r="A4" s="30" t="str">
        <x:v>Итог</x:v>
      </x:c>
      <x:c r="B4" s="30" t="str">
        <x:v>Итоговый статус</x:v>
      </x:c>
      <x:c r="C4" s="25" t="str">
        <x:v>✅ №1: рационально брать</x:v>
      </x:c>
      <x:c r="D4" s="25" t="str">
        <x:v>❌ №7: оверпрайс под задачу</x:v>
      </x:c>
      <x:c r="E4" s="25" t="str">
        <x:v>⚠️ №5: стабильно, но невыгодно</x:v>
      </x:c>
      <x:c r="F4" s="25" t="str">
        <x:v>✅ №2: лучший камерный вариант</x:v>
      </x:c>
      <x:c r="G4" s="25" t="str">
        <x:v>⚠️ №4: хороший, но цена неудачная</x:v>
      </x:c>
      <x:c r="H4" s="25" t="str">
        <x:v>⚠️ №6: сильный, но проверить eSIM/регион</x:v>
      </x:c>
      <x:c r="I4" s="25" t="str">
        <x:v>✅ №3: спокойная альтернатива</x:v>
      </x:c>
    </x:row>
    <x:row r="5" ht="60" customHeight="1">
      <x:c r="A5" s="30" t="str">
        <x:v>Итог</x:v>
      </x:c>
      <x:c r="B5" s="30" t="str">
        <x:v>Скоринг /100</x:v>
      </x:c>
      <x:c r="C5" s="32" t="n">
        <x:v>90</x:v>
      </x:c>
      <x:c r="D5" s="32" t="n">
        <x:v>80</x:v>
      </x:c>
      <x:c r="E5" s="32" t="n">
        <x:v>84</x:v>
      </x:c>
      <x:c r="F5" s="32" t="n">
        <x:v>87</x:v>
      </x:c>
      <x:c r="G5" s="32" t="n">
        <x:v>86</x:v>
      </x:c>
      <x:c r="H5" s="32" t="n">
        <x:v>82</x:v>
      </x:c>
      <x:c r="I5" s="32" t="n">
        <x:v>86</x:v>
      </x:c>
    </x:row>
    <x:row r="6" ht="60" customHeight="1">
      <x:c r="A6" s="30" t="str">
        <x:v>Итог</x:v>
      </x:c>
      <x:c r="B6" s="30" t="str">
        <x:v>Логика покупки</x:v>
      </x:c>
      <x:c r="C6" s="25" t="str">
        <x:v>✅ брать первым, если камера лично проходит тест</x:v>
      </x:c>
      <x:c r="D6" s="25" t="str">
        <x:v>❌ не оправдывает цену/батарею</x:v>
      </x:c>
      <x:c r="E6" s="25" t="str">
        <x:v>⚠️ только при очень хорошей цене</x:v>
      </x:c>
      <x:c r="F6" s="25" t="str">
        <x:v>✅ если камера важнее +33к и веса</x:v>
      </x:c>
      <x:c r="G6" s="25" t="str">
        <x:v>⚠️ брать при падении до ~70–75к</x:v>
      </x:c>
      <x:c r="H6" s="25" t="str">
        <x:v>⚠️ после подтверждения eSIM/LDAC/регион</x:v>
      </x:c>
      <x:c r="I6" s="25" t="str">
        <x:v>✅ если OP15 камера не устроит, X9 Pro дорого</x:v>
      </x:c>
    </x:row>
    <x:row r="7" ht="60" customHeight="1">
      <x:c r="A7" s="30" t="str">
        <x:v>Цена</x:v>
      </x:c>
      <x:c r="B7" s="30" t="str">
        <x:v>РФ/WB цена, ₽</x:v>
      </x:c>
      <x:c r="C7" s="34" t="n">
        <x:v>67476</x:v>
      </x:c>
      <x:c r="D7" s="34"/>
      <x:c r="E7" s="34"/>
      <x:c r="F7" s="34" t="n">
        <x:v>100273</x:v>
      </x:c>
      <x:c r="G7" s="34" t="n">
        <x:v>87114</x:v>
      </x:c>
      <x:c r="H7" s="34" t="n">
        <x:v>97189</x:v>
      </x:c>
      <x:c r="I7" s="34"/>
    </x:row>
    <x:row r="8" ht="60" customHeight="1">
      <x:c r="A8" s="30" t="str">
        <x:v>Цена</x:v>
      </x:c>
      <x:c r="B8" s="30" t="str">
        <x:v>РФ/локальный источник</x:v>
      </x:c>
      <x:c r="C8" s="25" t="str">
        <x:v>WB Brand Flagship Store, 67 476–67 912 ₽</x:v>
      </x:c>
      <x:c r="D8" s="25" t="str">
        <x:v>Нет РФ-карточки; у тебя Amazon ~926$ / дорого</x:v>
      </x:c>
      <x:c r="E8" s="25" t="str">
        <x:v>Нет РФ-карточки; у тебя Amazon ~740$</x:v>
      </x:c>
      <x:c r="F8" s="25" t="str">
        <x:v>WB ТехМагазин, 100 273 ₽, 0 отзывов</x:v>
      </x:c>
      <x:c r="G8" s="25" t="str">
        <x:v>WB Brand Flagship Store, 87 114 ₽, 0 отзывов</x:v>
      </x:c>
      <x:c r="H8" s="25" t="str">
        <x:v>WB iDM Store, 97 189 ₽, 12 отзывов</x:v>
      </x:c>
      <x:c r="I8" s="25" t="str">
        <x:v>Нет текущей карточки в твоём наборе</x:v>
      </x:c>
    </x:row>
    <x:row r="9" ht="60" customHeight="1">
      <x:c r="A9" s="30" t="str">
        <x:v>Цена</x:v>
      </x:c>
      <x:c r="B9" s="30" t="str">
        <x:v>UAE цена товара, AED</x:v>
      </x:c>
      <x:c r="C9" s="36" t="n">
        <x:v>2990</x:v>
      </x:c>
      <x:c r="D9" s="36" t="n">
        <x:v>3698</x:v>
      </x:c>
      <x:c r="E9" s="36" t="n">
        <x:v>3290</x:v>
      </x:c>
      <x:c r="F9" s="36" t="n">
        <x:v>4249</x:v>
      </x:c>
      <x:c r="G9" s="36" t="n">
        <x:v>3799</x:v>
      </x:c>
      <x:c r="H9" s="36" t="n">
        <x:v>4349</x:v>
      </x:c>
      <x:c r="I9" s="36" t="n">
        <x:v>2680</x:v>
      </x:c>
    </x:row>
    <x:row r="10" ht="60" customHeight="1">
      <x:c r="A10" s="30" t="str">
        <x:v>Цена</x:v>
      </x:c>
      <x:c r="B10" s="30" t="str">
        <x:v>UAE источник / версия</x:v>
      </x:c>
      <x:c r="C10" s="25" t="str">
        <x:v>Sharaf DG 2 990; Amazon 3 099, часто Indian/International</x:v>
      </x:c>
      <x:c r="D10" s="25" t="str">
        <x:v>Amazon.ae 3 698 или Sharaf starts 4 299; смотреть UAE/регион</x:v>
      </x:c>
      <x:c r="E10" s="25" t="str">
        <x:v>Miles/Noon/Pricena 3 290–3 899; Amazon часто 256GB/region complaints</x:v>
      </x:c>
      <x:c r="F10" s="25" t="str">
        <x:v>Pricena/Noon 4 249, но часто Chinese spec; Amazon дороже 5 795</x:v>
      </x:c>
      <x:c r="G10" s="25" t="str">
        <x:v>Mobileinto 3 799 для 16/512; Pricena 3 999+; следить за CPH2797/global</x:v>
      </x:c>
      <x:c r="H10" s="25" t="str">
        <x:v>Amazon 4 349; official UAE preorder 4 699</x:v>
      </x:c>
      <x:c r="I10" s="25" t="str">
        <x:v>Amazon 2 680 Indian; Pricena 2 317; версия/eSIM под вопросом</x:v>
      </x:c>
    </x:row>
    <x:row r="11" ht="60" customHeight="1">
      <x:c r="A11" s="30" t="str">
        <x:v>Цена</x:v>
      </x:c>
      <x:c r="B11" s="30" t="str">
        <x:v>UAE цена товара, ₽</x:v>
      </x:c>
      <x:c r="C11" s="34" t="n">
        <x:f>C9*'Источники'!$B$4</x:f>
        <x:v>63089.00000000001</x:v>
      </x:c>
      <x:c r="D11" s="34" t="n">
        <x:f>D9*'Источники'!$B$4</x:f>
        <x:v>78027.8</x:v>
      </x:c>
      <x:c r="E11" s="34" t="n">
        <x:f>E9*'Источники'!$B$4</x:f>
        <x:v>69419</x:v>
      </x:c>
      <x:c r="F11" s="34" t="n">
        <x:f>F9*'Источники'!$B$4</x:f>
        <x:v>89653.90000000001</x:v>
      </x:c>
      <x:c r="G11" s="34" t="n">
        <x:f>G9*'Источники'!$B$4</x:f>
        <x:v>80158.90000000001</x:v>
      </x:c>
      <x:c r="H11" s="34" t="n">
        <x:f>H9*'Источники'!$B$4</x:f>
        <x:v>91763.90000000001</x:v>
      </x:c>
      <x:c r="I11" s="34" t="n">
        <x:f>I9*'Источники'!$B$4</x:f>
        <x:v>56548.00000000001</x:v>
      </x:c>
    </x:row>
    <x:row r="12" ht="60" customHeight="1">
      <x:c r="A12" s="30" t="str">
        <x:v>Цена</x:v>
      </x:c>
      <x:c r="B12" s="30" t="str">
        <x:v>UAE доставка estimate, ₽</x:v>
      </x:c>
      <x:c r="C12" s="34" t="n">
        <x:f>IF(C9="","",'Источники'!$B$10/'Источники'!$B$6)</x:f>
        <x:v>1688</x:v>
      </x:c>
      <x:c r="D12" s="34" t="n">
        <x:f>IF(D9="","",'Источники'!$B$10/'Источники'!$B$6)</x:f>
        <x:v>1688</x:v>
      </x:c>
      <x:c r="E12" s="34" t="n">
        <x:f>IF(E9="","",'Источники'!$B$10/'Источники'!$B$6)</x:f>
        <x:v>1688</x:v>
      </x:c>
      <x:c r="F12" s="34" t="n">
        <x:f>IF(F9="","",'Источники'!$B$10/'Источники'!$B$6)</x:f>
        <x:v>1688</x:v>
      </x:c>
      <x:c r="G12" s="34" t="n">
        <x:f>IF(G9="","",'Источники'!$B$10/'Источники'!$B$6)</x:f>
        <x:v>1688</x:v>
      </x:c>
      <x:c r="H12" s="34" t="n">
        <x:f>IF(H9="","",'Источники'!$B$10/'Источники'!$B$6)</x:f>
        <x:v>1688</x:v>
      </x:c>
      <x:c r="I12" s="34" t="n">
        <x:f>IF(I9="","",'Источники'!$B$10/'Источники'!$B$6)</x:f>
        <x:v>1688</x:v>
      </x:c>
    </x:row>
    <x:row r="13" ht="60" customHeight="1">
      <x:c r="A13" s="30" t="str">
        <x:v>Цена</x:v>
      </x:c>
      <x:c r="B13" s="30" t="str">
        <x:v>UAE пошлина estimate, ₽</x:v>
      </x:c>
      <x:c r="C13" s="34" t="n">
        <x:f>IF(C9="","",MAX(0,(C9*'Источники'!$B$5-'Источники'!$B$8)*'Источники'!$B$9/'Источники'!$B$6))</x:f>
        <x:v>6794.7486</x:v>
      </x:c>
      <x:c r="D13" s="34" t="n">
        <x:f>IF(D9="","",MAX(0,(D9*'Источники'!$B$5-'Источники'!$B$8)*'Источники'!$B$9/'Источники'!$B$6))</x:f>
        <x:v>9035.568599999999</x:v>
      </x:c>
      <x:c r="E13" s="34" t="n">
        <x:f>IF(E9="","",MAX(0,(E9*'Источники'!$B$5-'Источники'!$B$8)*'Источники'!$B$9/'Источники'!$B$6))</x:f>
        <x:v>7744.2486</x:v>
      </x:c>
      <x:c r="F13" s="34" t="n">
        <x:f>IF(F9="","",MAX(0,(F9*'Источники'!$B$5-'Источники'!$B$8)*'Источники'!$B$9/'Источники'!$B$6))</x:f>
        <x:v>10779.4836</x:v>
      </x:c>
      <x:c r="G13" s="34" t="n">
        <x:f>IF(G9="","",MAX(0,(G9*'Источники'!$B$5-'Источники'!$B$8)*'Источники'!$B$9/'Источники'!$B$6))</x:f>
        <x:v>9355.2336</x:v>
      </x:c>
      <x:c r="H13" s="34" t="n">
        <x:f>IF(H9="","",MAX(0,(H9*'Источники'!$B$5-'Источники'!$B$8)*'Источники'!$B$9/'Источники'!$B$6))</x:f>
        <x:v>11095.9836</x:v>
      </x:c>
      <x:c r="I13" s="34" t="n">
        <x:f>IF(I9="","",MAX(0,(I9*'Источники'!$B$5-'Источники'!$B$8)*'Источники'!$B$9/'Источники'!$B$6))</x:f>
        <x:v>5813.598599999999</x:v>
      </x:c>
    </x:row>
    <x:row r="14" ht="60" customHeight="1">
      <x:c r="A14" s="30" t="str">
        <x:v>Цена</x:v>
      </x:c>
      <x:c r="B14" s="30" t="str">
        <x:v>UAE landed estimate, ₽</x:v>
      </x:c>
      <x:c r="C14" s="34" t="n">
        <x:f>IF(C9="","",C11+C12+C13)</x:f>
        <x:v>71571.7486</x:v>
      </x:c>
      <x:c r="D14" s="34" t="n">
        <x:f>IF(D9="","",D11+D12+D13)</x:f>
        <x:v>88751.3686</x:v>
      </x:c>
      <x:c r="E14" s="34" t="n">
        <x:f>IF(E9="","",E11+E12+E13)</x:f>
        <x:v>78851.2486</x:v>
      </x:c>
      <x:c r="F14" s="34" t="n">
        <x:f>IF(F9="","",F11+F12+F13)</x:f>
        <x:v>102121.3836</x:v>
      </x:c>
      <x:c r="G14" s="34" t="n">
        <x:f>IF(G9="","",G11+G12+G13)</x:f>
        <x:v>91202.1336</x:v>
      </x:c>
      <x:c r="H14" s="34" t="n">
        <x:f>IF(H9="","",H11+H12+H13)</x:f>
        <x:v>104547.8836</x:v>
      </x:c>
      <x:c r="I14" s="34" t="n">
        <x:f>IF(I9="","",I11+I12+I13)</x:f>
        <x:v>64049.598600000005</x:v>
      </x:c>
    </x:row>
    <x:row r="15" ht="60" customHeight="1">
      <x:c r="A15" s="30" t="str">
        <x:v>Цена</x:v>
      </x:c>
      <x:c r="B15" s="30" t="str">
        <x:v>UAE landed vs РФ, ₽</x:v>
      </x:c>
      <x:c r="C15" s="34" t="n">
        <x:f>IF(OR(C7="",C14=""),"",C14-C7)</x:f>
        <x:v>4095.7486000000063</x:v>
      </x:c>
      <x:c r="D15" s="34" t="str">
        <x:f>IF(OR(D7="",D14=""),"",D14-D7)</x:f>
      </x:c>
      <x:c r="E15" s="34" t="str">
        <x:f>IF(OR(E7="",E14=""),"",E14-E7)</x:f>
      </x:c>
      <x:c r="F15" s="34" t="n">
        <x:f>IF(OR(F7="",F14=""),"",F14-F7)</x:f>
        <x:v>1848.383600000001</x:v>
      </x:c>
      <x:c r="G15" s="34" t="n">
        <x:f>IF(OR(G7="",G14=""),"",G14-G7)</x:f>
        <x:v>4088.133600000001</x:v>
      </x:c>
      <x:c r="H15" s="34" t="n">
        <x:f>IF(OR(H7="",H14=""),"",H14-H7)</x:f>
        <x:v>7358.883600000001</x:v>
      </x:c>
      <x:c r="I15" s="34" t="str">
        <x:f>IF(OR(I7="",I14=""),"",I14-I7)</x:f>
      </x:c>
    </x:row>
    <x:row r="16" ht="60" customHeight="1">
      <x:c r="A16" s="30" t="str">
        <x:v>Цена</x:v>
      </x:c>
      <x:c r="B16" s="30" t="str">
        <x:v>Ценовой вывод</x:v>
      </x:c>
      <x:c r="C16" s="25" t="str">
        <x:v>⚠️ UAE не лучше: landed выходит около WB или дороже</x:v>
      </x:c>
      <x:c r="D16" s="25" t="str">
        <x:v>❓ UAE может быть дешевле Amazon, но всё равно слабый выбор</x:v>
      </x:c>
      <x:c r="E16" s="25" t="str">
        <x:v>❓ UAE цену можно смотреть, но выбор сам по себе не фаворит</x:v>
      </x:c>
      <x:c r="F16" s="25" t="str">
        <x:v>⚠️ UAE часто дешевле WB на бумаге, но Chinese-spec риск</x:v>
      </x:c>
      <x:c r="G16" s="25" t="str">
        <x:v>⚠️ UAE не спасает: близко к WB/дороже с пошлиной</x:v>
      </x:c>
      <x:c r="H16" s="25" t="str">
        <x:v>⚠️ близко к WB, выгода сомнительная</x:v>
      </x:c>
      <x:c r="I16" s="25" t="str">
        <x:v>⚠️ UAE дешевле, но OP13 уже старше; искать Global/eSIM</x:v>
      </x:c>
    </x:row>
    <x:row r="17" ht="60" customHeight="1">
      <x:c r="A17" s="30" t="str">
        <x:v>Покупка</x:v>
      </x:c>
      <x:c r="B17" s="30" t="str">
        <x:v>Регион / версия / честность карточки</x:v>
      </x:c>
      <x:c r="C17" s="25" t="str">
        <x:v>⚠️ US CPH2749: eSIM заявлена, отзывы есть; комплект/зарядка расходятся — проверять</x:v>
      </x:c>
      <x:c r="D17" s="25" t="str">
        <x:v>⚠️ регион критичен: Exynos/Snapdragon/комплект/гарантия зависят от рынка</x:v>
      </x:c>
      <x:c r="E17" s="25" t="str">
        <x:v>✅ Samsung обычно честнее по региону, но серый импорт всё равно проверить</x:v>
      </x:c>
      <x:c r="F17" s="25" t="str">
        <x:v>⚠️ WB 0 отзывов; EU charger/чехол заявлены; проверить Global/CPH и EID</x:v>
      </x:c>
      <x:c r="G17" s="25" t="str">
        <x:v>⚠️ WB 0 отзывов; в спеках OPPO есть Version 1/2 bands — нужен Global CPH2797</x:v>
      </x:c>
      <x:c r="H17" s="25" t="str">
        <x:v>❓ карточка противоречит по eSIM: характеристики nano-SIM, отзыв SIM+eSIM; оригинал не явно</x:v>
      </x:c>
      <x:c r="I17" s="25" t="str">
        <x:v>⚠️ искать именно Global/eSIM, не CN/India с ограничениями</x:v>
      </x:c>
    </x:row>
    <x:row r="18" ht="60" customHeight="1">
      <x:c r="A18" s="30" t="str">
        <x:v>Совместимость</x:v>
      </x:c>
      <x:c r="B18" s="30" t="str">
        <x:v>eSIM + физическая SIM</x:v>
      </x:c>
      <x:c r="C18" s="25" t="str">
        <x:v>✅ Nano+Nano/eSIM; eSIM заявлена</x:v>
      </x:c>
      <x:c r="D18" s="25" t="str">
        <x:v>✅ nano/eSIM; проверять регион</x:v>
      </x:c>
      <x:c r="E18" s="25" t="str">
        <x:v>✅ nano/eSIM global</x:v>
      </x:c>
      <x:c r="F18" s="25" t="str">
        <x:v>✅ Nano-SIM/Nano-USIM + eSIM</x:v>
      </x:c>
      <x:c r="G18" s="25" t="str">
        <x:v>✅ Nano-SIM + eSIM/Nano-USIM</x:v>
      </x:c>
      <x:c r="H18" s="25" t="str">
        <x:v>❓ подтвердить: отзыв пишет SIM+eSIM, карточка неочевидна</x:v>
      </x:c>
      <x:c r="I18" s="25" t="str">
        <x:v>✅ global eSIM</x:v>
      </x:c>
    </x:row>
    <x:row r="19" ht="60" customHeight="1">
      <x:c r="A19" s="30" t="str">
        <x:v>Совместимость</x:v>
      </x:c>
      <x:c r="B19" s="30" t="str">
        <x:v>Память 256+ / 512 / SD</x:v>
      </x:c>
      <x:c r="C19" s="25" t="str">
        <x:v>✅ 16/512; SD нет</x:v>
      </x:c>
      <x:c r="D19" s="25" t="str">
        <x:v>✅ 512; SD нет</x:v>
      </x:c>
      <x:c r="E19" s="25" t="str">
        <x:v>✅ 512; SD нет</x:v>
      </x:c>
      <x:c r="F19" s="25" t="str">
        <x:v>✅ 16/512; SD нет</x:v>
      </x:c>
      <x:c r="G19" s="25" t="str">
        <x:v>✅ 16/512; SD нет</x:v>
      </x:c>
      <x:c r="H19" s="25" t="str">
        <x:v>✅ 16/1TB; SD нет</x:v>
      </x:c>
      <x:c r="I19" s="25" t="str">
        <x:v>✅ 16/512; SD нет</x:v>
      </x:c>
    </x:row>
    <x:row r="20" ht="60" customHeight="1">
      <x:c r="A20" s="30" t="str">
        <x:v>Совместимость</x:v>
      </x:c>
      <x:c r="B20" s="30" t="str">
        <x:v>Google Pay / Google apps</x:v>
      </x:c>
      <x:c r="C20" s="25" t="str">
        <x:v>⚠️ должно работать на US/Global; проверить Play Integrity</x:v>
      </x:c>
      <x:c r="D20" s="25" t="str">
        <x:v>✅ да</x:v>
      </x:c>
      <x:c r="E20" s="25" t="str">
        <x:v>✅ да</x:v>
      </x:c>
      <x:c r="F20" s="25" t="str">
        <x:v>⚠️ да на Global; проверить регион</x:v>
      </x:c>
      <x:c r="G20" s="25" t="str">
        <x:v>⚠️ да на Global; проверить регион</x:v>
      </x:c>
      <x:c r="H20" s="25" t="str">
        <x:v>⚠️ да на Global; проверить регион</x:v>
      </x:c>
      <x:c r="I20" s="25" t="str">
        <x:v>⚠️ да на Global; проверить регион</x:v>
      </x:c>
    </x:row>
    <x:row r="21" ht="60" customHeight="1">
      <x:c r="A21" s="30" t="str">
        <x:v>Совместимость</x:v>
      </x:c>
      <x:c r="B21" s="30" t="str">
        <x:v>LDAC / Bluetooth codecs</x:v>
      </x:c>
      <x:c r="C21" s="25" t="str">
        <x:v>✅ BT 6.0; LDAC/aptX/aptX HD/Adaptive/LHDC</x:v>
      </x:c>
      <x:c r="D21" s="25" t="str">
        <x:v>⚠️ LDAC вероятен, но проверить</x:v>
      </x:c>
      <x:c r="E21" s="25" t="str">
        <x:v>⚠️ LDAC вероятен, но проверить</x:v>
      </x:c>
      <x:c r="F21" s="25" t="str">
        <x:v>✅ BT 6.0; LDAC/aptX/aptX HD/LHDC</x:v>
      </x:c>
      <x:c r="G21" s="25" t="str">
        <x:v>✅ BT 6.0; LDAC/aptX/aptX HD/LHDC</x:v>
      </x:c>
      <x:c r="H21" s="25" t="str">
        <x:v>❓ LDAC не подтверждён в текущих источниках</x:v>
      </x:c>
      <x:c r="I21" s="25" t="str">
        <x:v>✅ BT 5.4; LDAC/aptX-HD/LHDC</x:v>
      </x:c>
    </x:row>
    <x:row r="22" ht="60" customHeight="1">
      <x:c r="A22" s="30" t="str">
        <x:v>Связь</x:v>
      </x:c>
      <x:c r="B22" s="30" t="str">
        <x:v>Bands / модем / GPS / Европа-Армения</x:v>
      </x:c>
      <x:c r="C22" s="25" t="str">
        <x:v>✅ US/global bands broad; Snapdragon modem; GPS проверить</x:v>
      </x:c>
      <x:c r="D22" s="25" t="str">
        <x:v>⚠️ регион важен; Exynos-модем психологический минус</x:v>
      </x:c>
      <x:c r="E22" s="25" t="str">
        <x:v>✅ Snapdragon; global обычно ок</x:v>
      </x:c>
      <x:c r="F22" s="25" t="str">
        <x:v>⚠️ хорошо, но избегать урезанной/китайской версии</x:v>
      </x:c>
      <x:c r="G22" s="25" t="str">
        <x:v>⚠️ OPPO имеет Version 1/2 band sets; нужен global CPH2797</x:v>
      </x:c>
      <x:c r="H22" s="25" t="str">
        <x:v>⚠️ подтвердить global/region/eSIM bands</x:v>
      </x:c>
      <x:c r="I22" s="25" t="str">
        <x:v>✅ global bands сильные</x:v>
      </x:c>
    </x:row>
    <x:row r="23" ht="60" customHeight="1">
      <x:c r="A23" s="30" t="str">
        <x:v>Связь</x:v>
      </x:c>
      <x:c r="B23" s="30" t="str">
        <x:v>Wi‑Fi / USB</x:v>
      </x:c>
      <x:c r="C23" s="25" t="str">
        <x:v>✅ Wi‑Fi 7; USB 3.2 Gen 1</x:v>
      </x:c>
      <x:c r="D23" s="25" t="str">
        <x:v>✅ Wi‑Fi 7; USB-C 3.2</x:v>
      </x:c>
      <x:c r="E23" s="25" t="str">
        <x:v>✅ Wi‑Fi 7; USB-C 3.2</x:v>
      </x:c>
      <x:c r="F23" s="25" t="str">
        <x:v>✅ Wi‑Fi 7; USB 3.2 Gen 1</x:v>
      </x:c>
      <x:c r="G23" s="25" t="str">
        <x:v>✅ Wi‑Fi 7; USB 3.2 Gen 1 likely</x:v>
      </x:c>
      <x:c r="H23" s="25" t="str">
        <x:v>⚠️ Wi‑Fi 7 likely; USB не подтверждён</x:v>
      </x:c>
      <x:c r="I23" s="25" t="str">
        <x:v>✅ Wi‑Fi 7; USB 3.2 Gen 1</x:v>
      </x:c>
    </x:row>
    <x:row r="24" ht="60" customHeight="1">
      <x:c r="A24" s="30" t="str">
        <x:v>Запас</x:v>
      </x:c>
      <x:c r="B24" s="30" t="str">
        <x:v>SoC / производительность</x:v>
      </x:c>
      <x:c r="C24" s="25" t="str">
        <x:v>✅ Snapdragon 8 Elite Gen 5</x:v>
      </x:c>
      <x:c r="D24" s="25" t="str">
        <x:v>⚠️ Exynos 2600 в UK/EU; Snapdragon только часть рынков</x:v>
      </x:c>
      <x:c r="E24" s="25" t="str">
        <x:v>✅ Snapdragon 8 Elite for Galaxy</x:v>
      </x:c>
      <x:c r="F24" s="25" t="str">
        <x:v>✅ Dimensity 9500</x:v>
      </x:c>
      <x:c r="G24" s="25" t="str">
        <x:v>✅ Dimensity 9500</x:v>
      </x:c>
      <x:c r="H24" s="25" t="str">
        <x:v>✅ Snapdragon 8 Elite Gen 5</x:v>
      </x:c>
      <x:c r="I24" s="25" t="str">
        <x:v>✅ Snapdragon 8 Elite</x:v>
      </x:c>
    </x:row>
    <x:row r="25" ht="60" customHeight="1">
      <x:c r="A25" s="30" t="str">
        <x:v>Запас</x:v>
      </x:c>
      <x:c r="B25" s="30" t="str">
        <x:v>Быстрый повседневный сценарий</x:v>
      </x:c>
      <x:c r="C25" s="25" t="str">
        <x:v>✅ максимальный запас; должен летать</x:v>
      </x:c>
      <x:c r="D25" s="25" t="str">
        <x:v>✅ быстро, но цена/батарея не радуют</x:v>
      </x:c>
      <x:c r="E25" s="25" t="str">
        <x:v>✅ быстро и предсказуемо</x:v>
      </x:c>
      <x:c r="F25" s="25" t="str">
        <x:v>✅ максимальный запас; ColorOS проверить</x:v>
      </x:c>
      <x:c r="G25" s="25" t="str">
        <x:v>✅ максимальный запас; легче Pro</x:v>
      </x:c>
      <x:c r="H25" s="25" t="str">
        <x:v>✅ максимальный запас; MagicOS проверить</x:v>
      </x:c>
      <x:c r="I25" s="25" t="str">
        <x:v>✅ очень быстрый и уже зрелый</x:v>
      </x:c>
    </x:row>
    <x:row r="26" ht="60" customHeight="1">
      <x:c r="A26" s="30" t="str">
        <x:v>Запас</x:v>
      </x:c>
      <x:c r="B26" s="30" t="str">
        <x:v>Многозадачность без вылетов</x:v>
      </x:c>
      <x:c r="C26" s="25" t="str">
        <x:v>✅ 16 ГБ: Telegram+карты+браузер+Teams без боли</x:v>
      </x:c>
      <x:c r="D26" s="25" t="str">
        <x:v>⚠️ 12 ГБ норм, но меньше запас на 3 года</x:v>
      </x:c>
      <x:c r="E26" s="25" t="str">
        <x:v>⚠️ 12 ГБ норм, но меньше запас</x:v>
      </x:c>
      <x:c r="F26" s="25" t="str">
        <x:v>✅ 16 ГБ</x:v>
      </x:c>
      <x:c r="G26" s="25" t="str">
        <x:v>✅ 16 ГБ</x:v>
      </x:c>
      <x:c r="H26" s="25" t="str">
        <x:v>✅ 16 ГБ</x:v>
      </x:c>
      <x:c r="I26" s="25" t="str">
        <x:v>✅ 16 ГБ</x:v>
      </x:c>
    </x:row>
    <x:row r="27" ht="60" customHeight="1">
      <x:c r="A27" s="30" t="str">
        <x:v>Запас</x:v>
      </x:c>
      <x:c r="B27" s="30" t="str">
        <x:v>OS / поддержка</x:v>
      </x:c>
      <x:c r="C27" s="25" t="str">
        <x:v>✅ Android 16 / OxygenOS 16</x:v>
      </x:c>
      <x:c r="D27" s="25" t="str">
        <x:v>✅ Android 16 / One UI 8.5; 7 лет</x:v>
      </x:c>
      <x:c r="E27" s="25" t="str">
        <x:v>✅ Android 15/One UI 7; 7 лет</x:v>
      </x:c>
      <x:c r="F27" s="25" t="str">
        <x:v>✅ Android 16 / ColorOS 16</x:v>
      </x:c>
      <x:c r="G27" s="25" t="str">
        <x:v>✅ Android 16 / ColorOS 16</x:v>
      </x:c>
      <x:c r="H27" s="25" t="str">
        <x:v>✅ Android 16 / MagicOS 10</x:v>
      </x:c>
      <x:c r="I27" s="25" t="str">
        <x:v>✅ Android 15/16 / OxygenOS</x:v>
      </x:c>
    </x:row>
    <x:row r="28" ht="60" customHeight="1">
      <x:c r="A28" s="30" t="str">
        <x:v>Автономность</x:v>
      </x:c>
      <x:c r="B28" s="30" t="str">
        <x:v>Батарея</x:v>
      </x:c>
      <x:c r="C28" s="25" t="str">
        <x:v>✅ 7300 мАч</x:v>
      </x:c>
      <x:c r="D28" s="25" t="str">
        <x:v>❌ 4900 мАч</x:v>
      </x:c>
      <x:c r="E28" s="25" t="str">
        <x:v>❌ 4900 мАч</x:v>
      </x:c>
      <x:c r="F28" s="25" t="str">
        <x:v>✅ 7500 typical / 7290 rated</x:v>
      </x:c>
      <x:c r="G28" s="25" t="str">
        <x:v>✅ 7025 typical / 6840 rated</x:v>
      </x:c>
      <x:c r="H28" s="25" t="str">
        <x:v>✅ 7100 мАч WB/global; EU может быть 6270</x:v>
      </x:c>
      <x:c r="I28" s="25" t="str">
        <x:v>⚠️ 6000 мАч</x:v>
      </x:c>
    </x:row>
    <x:row r="29" ht="60" customHeight="1">
      <x:c r="A29" s="30" t="str">
        <x:v>Автономность</x:v>
      </x:c>
      <x:c r="B29" s="30" t="str">
        <x:v>Хайк 10–11 ч GPS + карта</x:v>
      </x:c>
      <x:c r="C29" s="25" t="str">
        <x:v>✅ лучший шанс за 67к; powerbank первый раз взять</x:v>
      </x:c>
      <x:c r="D29" s="25" t="str">
        <x:v>❌ рискованно; powerbank обязателен</x:v>
      </x:c>
      <x:c r="E29" s="25" t="str">
        <x:v>❌ рискованно; powerbank обязателен</x:v>
      </x:c>
      <x:c r="F29" s="25" t="str">
        <x:v>✅ лучший шанс в списке</x:v>
      </x:c>
      <x:c r="G29" s="25" t="str">
        <x:v>✅ очень хороший шанс и легче Pro</x:v>
      </x:c>
      <x:c r="H29" s="25" t="str">
        <x:v>✅ хороший шанс при версии 7100 мАч</x:v>
      </x:c>
      <x:c r="I29" s="25" t="str">
        <x:v>⚠️ нормально, но не 7000+ класс</x:v>
      </x:c>
    </x:row>
    <x:row r="30" ht="60" customHeight="1">
      <x:c r="A30" s="30" t="str">
        <x:v>Автономность</x:v>
      </x:c>
      <x:c r="B30" s="30" t="str">
        <x:v>Зарядка</x:v>
      </x:c>
      <x:c r="C30" s="25" t="str">
        <x:v>⚠️ 120W заявлено, но отзыв говорит 80W; wireless 50W</x:v>
      </x:c>
      <x:c r="D30" s="25" t="str">
        <x:v>⚠️ 45W wired; wireless</x:v>
      </x:c>
      <x:c r="E30" s="25" t="str">
        <x:v>⚠️ 45W wired; wireless</x:v>
      </x:c>
      <x:c r="F30" s="25" t="str">
        <x:v>✅ 80W wired / 50W wireless</x:v>
      </x:c>
      <x:c r="G30" s="25" t="str">
        <x:v>✅ 80W wired / 50W wireless</x:v>
      </x:c>
      <x:c r="H30" s="25" t="str">
        <x:v>✅ 100W wired / 80W wireless</x:v>
      </x:c>
      <x:c r="I30" s="25" t="str">
        <x:v>✅ 100W wired / 50W wireless</x:v>
      </x:c>
    </x:row>
    <x:row r="31" ht="60" customHeight="1">
      <x:c r="A31" s="30" t="str">
        <x:v>Камера</x:v>
      </x:c>
      <x:c r="B31" s="30" t="str">
        <x:v>Задние камеры</x:v>
      </x:c>
      <x:c r="C31" s="25" t="str">
        <x:v>⚠️ 50 IMX906 + 50 tele + 50 UW</x:v>
      </x:c>
      <x:c r="D31" s="25" t="str">
        <x:v>⚠️ 50 + 12 UW + 10 tele 3x</x:v>
      </x:c>
      <x:c r="E31" s="25" t="str">
        <x:v>⚠️ 50 + 12 UW + 10 tele 3x</x:v>
      </x:c>
      <x:c r="F31" s="25" t="str">
        <x:v>✅ 50 UW + 50 wide OIS + 200 tele OIS + 2 mono</x:v>
      </x:c>
      <x:c r="G31" s="25" t="str">
        <x:v>✅ 50 wide + 50 UW + 50 tele</x:v>
      </x:c>
      <x:c r="H31" s="25" t="str">
        <x:v>✅ 50 wide + 50 UW + 200 periscope tele</x:v>
      </x:c>
      <x:c r="I31" s="25" t="str">
        <x:v>✅ 50 LYT-808 + 50 tele 3x + 50 UW</x:v>
      </x:c>
    </x:row>
    <x:row r="32" ht="60" customHeight="1">
      <x:c r="A32" s="30" t="str">
        <x:v>Камера</x:v>
      </x:c>
      <x:c r="B32" s="30" t="str">
        <x:v>Быстрое фото «достал → щёлкнул → норм»</x:v>
      </x:c>
      <x:c r="C32" s="25" t="str">
        <x:v>⚠️ железо быстрое, но автофокус/low-light лично тестить</x:v>
      </x:c>
      <x:c r="D32" s="25" t="str">
        <x:v>✅ Samsung предсказуем; двойное нажатие Side Key</x:v>
      </x:c>
      <x:c r="E32" s="25" t="str">
        <x:v>✅ Samsung предсказуем; двойное нажатие Side Key</x:v>
      </x:c>
      <x:c r="F32" s="25" t="str">
        <x:v>✅ лучший кандидат по камере; есть Snap Key/Quick Button</x:v>
      </x:c>
      <x:c r="G32" s="25" t="str">
        <x:v>⚠️ хороший, но слабее Pro; Quick/Snap Key проверить</x:v>
      </x:c>
      <x:c r="H32" s="25" t="str">
        <x:v>⚠️ сильный зум, но AI/video processing проверить</x:v>
      </x:c>
      <x:c r="I32" s="25" t="str">
        <x:v>✅ зрелее OP15; быстрый запуск проверить</x:v>
      </x:c>
    </x:row>
    <x:row r="33" ht="60" customHeight="1">
      <x:c r="A33" s="30" t="str">
        <x:v>Камера</x:v>
      </x:c>
      <x:c r="B33" s="30" t="str">
        <x:v>Практический камерный риск</x:v>
      </x:c>
      <x:c r="C33" s="25" t="str">
        <x:v>⚠️ средний: low-light/перенасыщение/tele; тестить лично</x:v>
      </x:c>
      <x:c r="D33" s="25" t="str">
        <x:v>✅ низкий риск стабильности, но не вау</x:v>
      </x:c>
      <x:c r="E33" s="25" t="str">
        <x:v>✅ низкий риск стабильности, но консервативно</x:v>
      </x:c>
      <x:c r="F33" s="25" t="str">
        <x:v>⚠️ низко-средний: железо сильное, processing проверить</x:v>
      </x:c>
      <x:c r="G33" s="25" t="str">
        <x:v>⚠️ средний: мало отзывов WB, слабее Pro</x:v>
      </x:c>
      <x:c r="H33" s="25" t="str">
        <x:v>⚠️ средний: AI/video processing и региональные нюансы</x:v>
      </x:c>
      <x:c r="I33" s="25" t="str">
        <x:v>✅ низко-средний: зрелее OP15, но не топ-батарея</x:v>
      </x:c>
    </x:row>
    <x:row r="34" ht="60" customHeight="1">
      <x:c r="A34" s="30" t="str">
        <x:v>Камера</x:v>
      </x:c>
      <x:c r="B34" s="30" t="str">
        <x:v>Видео / стабилизация</x:v>
      </x:c>
      <x:c r="C34" s="25" t="str">
        <x:v>⚠️ спеки сильные, low-light/video проверить</x:v>
      </x:c>
      <x:c r="D34" s="25" t="str">
        <x:v>✅ Samsung Super Steady / Horizontal Lock</x:v>
      </x:c>
      <x:c r="E34" s="25" t="str">
        <x:v>✅ Samsung стабилен</x:v>
      </x:c>
      <x:c r="F34" s="25" t="str">
        <x:v>✅ 4K120 rear, front 4K60, video anti-shake</x:v>
      </x:c>
      <x:c r="G34" s="25" t="str">
        <x:v>✅ 4K120/Dolby Vision по OPPO overview; проверить</x:v>
      </x:c>
      <x:c r="H34" s="25" t="str">
        <x:v>⚠️ OIS/4K; video не лидер по обзорам</x:v>
      </x:c>
      <x:c r="I34" s="25" t="str">
        <x:v>✅ 4K Dolby Vision; зрелый пакет</x:v>
      </x:c>
    </x:row>
    <x:row r="35" ht="60" customHeight="1">
      <x:c r="A35" s="30" t="str">
        <x:v>Камера</x:v>
      </x:c>
      <x:c r="B35" s="30" t="str">
        <x:v>Фронталка</x:v>
      </x:c>
      <x:c r="C35" s="25" t="str">
        <x:v>✅ 32 МП</x:v>
      </x:c>
      <x:c r="D35" s="25" t="str">
        <x:v>⚠️ 12 МП: стабильно, не вау</x:v>
      </x:c>
      <x:c r="E35" s="25" t="str">
        <x:v>⚠️ 12 МП: стабильно, не вау</x:v>
      </x:c>
      <x:c r="F35" s="25" t="str">
        <x:v>✅ 50 МП AF — лучший кандидат</x:v>
      </x:c>
      <x:c r="G35" s="25" t="str">
        <x:v>✅ 32 МП</x:v>
      </x:c>
      <x:c r="H35" s="25" t="str">
        <x:v>✅ 50 МП + 3D face</x:v>
      </x:c>
      <x:c r="I35" s="25" t="str">
        <x:v>✅ 32 МП</x:v>
      </x:c>
    </x:row>
    <x:row r="36" ht="60" customHeight="1">
      <x:c r="A36" s="30" t="str">
        <x:v>UX</x:v>
      </x:c>
      <x:c r="B36" s="30" t="str">
        <x:v>Прошивка / фон / Syncthing</x:v>
      </x:c>
      <x:c r="C36" s="25" t="str">
        <x:v>⚠️ OxygenOS чистая, снять battery restrictions</x:v>
      </x:c>
      <x:c r="D36" s="25" t="str">
        <x:v>✅ One UI предсказуема, но шлака больше</x:v>
      </x:c>
      <x:c r="E36" s="25" t="str">
        <x:v>✅ One UI предсказуема, но шлака больше</x:v>
      </x:c>
      <x:c r="F36" s="25" t="str">
        <x:v>⚠️ ColorOS: уведомления/autostart/background</x:v>
      </x:c>
      <x:c r="G36" s="25" t="str">
        <x:v>⚠️ ColorOS: уведомления/autostart/background</x:v>
      </x:c>
      <x:c r="H36" s="25" t="str">
        <x:v>⚠️ MagicOS: background и уведомления</x:v>
      </x:c>
      <x:c r="I36" s="25" t="str">
        <x:v>✅ OxygenOS зрелее, но проверить фон</x:v>
      </x:c>
    </x:row>
    <x:row r="37" ht="60" customHeight="1">
      <x:c r="A37" s="30" t="str">
        <x:v>UX</x:v>
      </x:c>
      <x:c r="B37" s="30" t="str">
        <x:v>Разблокировка</x:v>
      </x:c>
      <x:c r="C37" s="25" t="str">
        <x:v>✅ ultrasonic FP + face</x:v>
      </x:c>
      <x:c r="D37" s="25" t="str">
        <x:v>✅ ultrasonic FP + face</x:v>
      </x:c>
      <x:c r="E37" s="25" t="str">
        <x:v>✅ ultrasonic FP + face</x:v>
      </x:c>
      <x:c r="F37" s="25" t="str">
        <x:v>✅ ultrasonic FP + face</x:v>
      </x:c>
      <x:c r="G37" s="25" t="str">
        <x:v>✅ ultrasonic FP + face</x:v>
      </x:c>
      <x:c r="H37" s="25" t="str">
        <x:v>✅ ultrasonic FP + 3D face</x:v>
      </x:c>
      <x:c r="I37" s="25" t="str">
        <x:v>✅ ultrasonic FP + face</x:v>
      </x:c>
    </x:row>
    <x:row r="38" ht="60" customHeight="1">
      <x:c r="A38" s="30" t="str">
        <x:v>UX</x:v>
      </x:c>
      <x:c r="B38" s="30" t="str">
        <x:v>Эргономика: вес / толщина / без чехла</x:v>
      </x:c>
      <x:c r="C38" s="25" t="str">
        <x:v>⚠️ 215 г / ~9 мм; уже лопата, но терпимо</x:v>
      </x:c>
      <x:c r="D38" s="25" t="str">
        <x:v>✅ 190–195 г / тонкий; лучший среди крупных</x:v>
      </x:c>
      <x:c r="E38" s="25" t="str">
        <x:v>✅ 190 г / 7.3 мм; лучший комфорт</x:v>
      </x:c>
      <x:c r="F38" s="25" t="str">
        <x:v>❌ 224 г / 8.3 мм; камера-блок и вес штрафуют</x:v>
      </x:c>
      <x:c r="G38" s="25" t="str">
        <x:v>✅ 203 г / 8.0 мм; лучший OPPO-баланс</x:v>
      </x:c>
      <x:c r="H38" s="25" t="str">
        <x:v>⚠️ 219 г / 8.3 мм; тяжеловат</x:v>
      </x:c>
      <x:c r="I38" s="25" t="str">
        <x:v>⚠️ ~210 г / 8.5 мм; крупный, но не Pro-кирпич</x:v>
      </x:c>
    </x:row>
    <x:row r="39" ht="60" customHeight="1">
      <x:c r="A39" s="30" t="str">
        <x:v>UX</x:v>
      </x:c>
      <x:c r="B39" s="30" t="str">
        <x:v>Прочность / материалы / жизнь без чехла</x:v>
      </x:c>
      <x:c r="C39" s="25" t="str">
        <x:v>✅ IP66/IP68/IP69/IP69K; Victus 2 по WB</x:v>
      </x:c>
      <x:c r="D39" s="25" t="str">
        <x:v>⚠️ премиум/IP, но камера-блок/стекло; чехол всё равно желателен</x:v>
      </x:c>
      <x:c r="E39" s="25" t="str">
        <x:v>⚠️ премиум/IP, лёгкий; всё равно стекло</x:v>
      </x:c>
      <x:c r="F39" s="25" t="str">
        <x:v>✅ IP69, Victus 2 по WB; но тяжёлый стеклянный аппарат</x:v>
      </x:c>
      <x:c r="G39" s="25" t="str">
        <x:v>✅ IP66/IP68/IP69; легче Pro</x:v>
      </x:c>
      <x:c r="H39" s="25" t="str">
        <x:v>✅ IP68/IP69K, но стеклянный/тяжёлый</x:v>
      </x:c>
      <x:c r="I39" s="25" t="str">
        <x:v>⚠️ IP68/IP69, стекло; проверить скользкость</x:v>
      </x:c>
    </x:row>
    <x:row r="40" ht="60" customHeight="1">
      <x:c r="A40" s="30" t="str">
        <x:v>UX</x:v>
      </x:c>
      <x:c r="B40" s="30" t="str">
        <x:v>Быстрый фонарик / shortcut без разблокировки</x:v>
      </x:c>
      <x:c r="C40" s="25" t="str">
        <x:v>✅ Plus Key / gestures — лучший шанс заменить Bixby</x:v>
      </x:c>
      <x:c r="D40" s="25" t="str">
        <x:v>✅ Side Key / lockscreen shortcuts</x:v>
      </x:c>
      <x:c r="E40" s="25" t="str">
        <x:v>✅ Side Key / lockscreen shortcuts</x:v>
      </x:c>
      <x:c r="F40" s="25" t="str">
        <x:v>✅ Snap Key / Quick Button</x:v>
      </x:c>
      <x:c r="G40" s="25" t="str">
        <x:v>✅ Snap Key / gestures</x:v>
      </x:c>
      <x:c r="H40" s="25" t="str">
        <x:v>✅ AI Button / gestures; проверить фонарик</x:v>
      </x:c>
      <x:c r="I40" s="25" t="str">
        <x:v>⚠️ gestures/Alert Slider; проверить назначение фонарика</x:v>
      </x:c>
    </x:row>
    <x:row r="41" ht="60" customHeight="1">
      <x:c r="A41" s="30" t="str">
        <x:v>UX</x:v>
      </x:c>
      <x:c r="B41" s="30" t="str">
        <x:v>Windows-связка</x:v>
      </x:c>
      <x:c r="C41" s="25" t="str">
        <x:v>⚠️ Phone Link, не Samsung-уровень</x:v>
      </x:c>
      <x:c r="D41" s="25" t="str">
        <x:v>✅ лучший вариант</x:v>
      </x:c>
      <x:c r="E41" s="25" t="str">
        <x:v>✅ лучший вариант</x:v>
      </x:c>
      <x:c r="F41" s="25" t="str">
        <x:v>⚠️ Phone Link, без Samsung-магии</x:v>
      </x:c>
      <x:c r="G41" s="25" t="str">
        <x:v>⚠️ Phone Link</x:v>
      </x:c>
      <x:c r="H41" s="25" t="str">
        <x:v>⚠️ Phone Link</x:v>
      </x:c>
      <x:c r="I41" s="25" t="str">
        <x:v>⚠️ Phone Link</x:v>
      </x:c>
    </x:row>
    <x:row r="42" ht="60" customHeight="1">
      <x:c r="A42" s="30" t="str">
        <x:v>UX</x:v>
      </x:c>
      <x:c r="B42" s="30" t="str">
        <x:v>Экран / цвет / яркость</x:v>
      </x:c>
      <x:c r="C42" s="25" t="str">
        <x:v>✅ 6.78 AMOLED 2772×1272, 1–120/165 gaming</x:v>
      </x:c>
      <x:c r="D42" s="25" t="str">
        <x:v>✅ Samsung AMOLED, цвет/яркость сильные</x:v>
      </x:c>
      <x:c r="E42" s="25" t="str">
        <x:v>✅ Samsung AMOLED, цвет/яркость сильные</x:v>
      </x:c>
      <x:c r="F42" s="25" t="str">
        <x:v>✅ 6.78 LTPO AMOLED, 450 ppi, HBM 1800</x:v>
      </x:c>
      <x:c r="G42" s="25" t="str">
        <x:v>✅ 6.59 AMOLED, 460 ppi, HBM 1800; компактнее</x:v>
      </x:c>
      <x:c r="H42" s="25" t="str">
        <x:v>✅ 6.71 OLED, яркий, 120 Гц</x:v>
      </x:c>
      <x:c r="I42" s="25" t="str">
        <x:v>✅ 6.82 QHD LTPO AMOLED</x:v>
      </x:c>
    </x:row>
    <x:row r="43" ht="60" customHeight="1">
      <x:c r="A43" s="30" t="str">
        <x:v>UX</x:v>
      </x:c>
      <x:c r="B43" s="30" t="str">
        <x:v>Динамики / аудио</x:v>
      </x:c>
      <x:c r="C43" s="25" t="str">
        <x:v>✅ стерео ожидаемо ок; проверить громкость</x:v>
      </x:c>
      <x:c r="D43" s="25" t="str">
        <x:v>✅ Samsung стабильно ок</x:v>
      </x:c>
      <x:c r="E43" s="25" t="str">
        <x:v>✅ Samsung стабильно ок</x:v>
      </x:c>
      <x:c r="F43" s="25" t="str">
        <x:v>✅ стерео ожидаемо ок; проверить</x:v>
      </x:c>
      <x:c r="G43" s="25" t="str">
        <x:v>✅ стерео ожидаемо ок; проверить</x:v>
      </x:c>
      <x:c r="H43" s="25" t="str">
        <x:v>✅ стерео ожидаемо ок; проверить</x:v>
      </x:c>
      <x:c r="I43" s="25" t="str">
        <x:v>✅ стерео хорошо, проверить вживую</x:v>
      </x:c>
    </x:row>
    <x:row r="44" ht="60" customHeight="1">
      <x:c r="A44" s="30" t="str">
        <x:v>UX</x:v>
      </x:c>
      <x:c r="B44" s="30" t="str">
        <x:v>Дизайн / необычность / удовольствие</x:v>
      </x:c>
      <x:c r="C44" s="25" t="str">
        <x:v>✅ необычный цвет/OnePlus; цена добавляет удовольствия</x:v>
      </x:c>
      <x:c r="D44" s="25" t="str">
        <x:v>⚠️ Samsung скучнее и дорого</x:v>
      </x:c>
      <x:c r="E44" s="25" t="str">
        <x:v>⚠️ Samsung скучнее, но тонкий</x:v>
      </x:c>
      <x:c r="F44" s="25" t="str">
        <x:v>✅ белый/камера-блок/флагманский вид; «павлин» ок</x:v>
      </x:c>
      <x:c r="G44" s="25" t="str">
        <x:v>✅ серый/аккуратнее/тоньше, но менее вау</x:v>
      </x:c>
      <x:c r="H44" s="25" t="str">
        <x:v>✅ Sunrise Gold, 1TB, заметный аппарат</x:v>
      </x:c>
      <x:c r="I44" s="25" t="str">
        <x:v>✅ OnePlus выглядит солидно, но не такой новый</x:v>
      </x:c>
    </x:row>
    <x:row r="45" ht="60" customHeight="1">
      <x:c r="A45" s="30" t="str">
        <x:v>Риски</x:v>
      </x:c>
      <x:c r="B45" s="30" t="str">
        <x:v>Главный стоп-сигнал</x:v>
      </x:c>
      <x:c r="C45" s="25" t="str">
        <x:v>⚠️ камера вечером/видео + US-комплект</x:v>
      </x:c>
      <x:c r="D45" s="25" t="str">
        <x:v>❌ цена + 4900 мАч + Exynos/regional</x:v>
      </x:c>
      <x:c r="E45" s="25" t="str">
        <x:v>❌ 4900 мАч и слабый апгрейд батареи</x:v>
      </x:c>
      <x:c r="F45" s="25" t="str">
        <x:v>⚠️ 100к + 224 г + 0 отзывов WB</x:v>
      </x:c>
      <x:c r="G45" s="25" t="str">
        <x:v>⚠️ цена 87к при OP15 за 67к</x:v>
      </x:c>
      <x:c r="H45" s="25" t="str">
        <x:v>⚠️ eSIM/LDAC/регион подтвердить</x:v>
      </x:c>
      <x:c r="I45" s="25" t="str">
        <x:v>⚠️ нет текущей локальной карточки/цены</x:v>
      </x:c>
    </x:row>
    <x:row r="46" ht="60" customHeight="1">
      <x:c r="A46" s="30" t="str">
        <x:v>Риски</x:v>
      </x:c>
      <x:c r="B46" s="30" t="str">
        <x:v>Что проверять в первые 15 минут</x:v>
      </x:c>
      <x:c r="C46" s="25" t="str">
        <x:v>eSIM, Wallet, камера вечер, комплект, LDAC, Plus Key</x:v>
      </x:c>
      <x:c r="D46" s="25" t="str">
        <x:v>регион/SoC, Wallet, батарея, камера, Windows Link</x:v>
      </x:c>
      <x:c r="E46" s="25" t="str">
        <x:v>регион, Wallet, батарея, камера, Windows Link</x:v>
      </x:c>
      <x:c r="F46" s="25" t="str">
        <x:v>Global/CPH, Wallet, eSIM, камера, фон, вес</x:v>
      </x:c>
      <x:c r="G46" s="25" t="str">
        <x:v>Global CPH2797, bands, Wallet, eSIM, фон</x:v>
      </x:c>
      <x:c r="H46" s="25" t="str">
        <x:v>eSIM, LDAC, Global, 3D face, фон, камера</x:v>
      </x:c>
      <x:c r="I46" s="25" t="str">
        <x:v>Global/eSIM, Wallet, камера, фон, цена</x:v>
      </x:c>
    </x:row>
  </x:sheetData>
  <x:mergeCells>
    <x:mergeCell ref="A1:I1"/>
  </x:mergeCells>
  <x:conditionalFormatting sqref="C4:I46">
    <x:cfRule type="expression" dxfId="0" priority="1">
      <x:formula>ISNUMBER(SEARCH("✅",C4))</x:formula>
    </x:cfRule>
    <x:cfRule type="expression" dxfId="1" priority="2">
      <x:formula>ISNUMBER(SEARCH("⚠️",C4))</x:formula>
    </x:cfRule>
    <x:cfRule type="expression" dxfId="2" priority="3">
      <x:formula>ISNUMBER(SEARCH("❌",C4))</x:formula>
    </x:cfRule>
    <x:cfRule type="expression" dxfId="3" priority="4">
      <x:formula>ISNUMBER(SEARCH("❓",C4))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38" hidden="0" customWidth="1"/>
    <x:col min="4" max="4" width="80" hidden="0" customWidth="1"/>
  </x:cols>
  <x:sheetData>
    <x:row r="1" ht="32" customHeight="1">
      <x:c r="A1" s="24" t="str">
        <x:v>Источники и допущения для v5 — критерии обновлены</x:v>
      </x:c>
      <x:c r="B1" s="25"/>
      <x:c r="C1" s="25"/>
      <x:c r="D1" s="25"/>
    </x:row>
    <x:row r="2">
      <x:c r="A2" s="25"/>
      <x:c r="B2" s="25"/>
      <x:c r="C2" s="25"/>
      <x:c r="D2" s="25"/>
    </x:row>
    <x:row r="3" ht="30" customHeight="1">
      <x:c r="A3" s="26" t="str">
        <x:v>Допущение</x:v>
      </x:c>
      <x:c r="B3" s="26" t="str">
        <x:v>Значение</x:v>
      </x:c>
      <x:c r="C3" s="26" t="str">
        <x:v>Ед.</x:v>
      </x:c>
      <x:c r="D3" s="26" t="str">
        <x:v>Источник / комментарий</x:v>
      </x:c>
    </x:row>
    <x:row r="4" ht="60" customHeight="1">
      <x:c r="A4" s="25" t="str">
        <x:v>AED→RUB</x:v>
      </x:c>
      <x:c r="B4" s="25" t="n">
        <x:v>21.1</x:v>
      </x:c>
      <x:c r="C4" s="25" t="str">
        <x:v>₽ за AED</x:v>
      </x:c>
      <x:c r="D4" s="25" t="str">
        <x:v>exchange-rates.org: July 2026 average AED/RUB ≈21.10; фактический банковский курс может отличаться</x:v>
      </x:c>
    </x:row>
    <x:row r="5" ht="60" customHeight="1">
      <x:c r="A5" s="25" t="str">
        <x:v>AED→AMD</x:v>
      </x:c>
      <x:c r="B5" s="25" t="n">
        <x:v>100</x:v>
      </x:c>
      <x:c r="C5" s="25" t="str">
        <x:v>֏ за AED</x:v>
      </x:c>
      <x:c r="D5" s="25" t="str">
        <x:v>XE/Revolut/RIA дают около 99.7–100.2 AMD за AED 03.07.2026; округлено для грубой сметы</x:v>
      </x:c>
    </x:row>
    <x:row r="6" ht="60" customHeight="1">
      <x:c r="A6" s="25" t="str">
        <x:v>RUB→AMD</x:v>
      </x:c>
      <x:c r="B6" s="25" t="n">
        <x:v>4.739336492890995</x:v>
      </x:c>
      <x:c r="C6" s="25" t="str">
        <x:v>֏ за ₽</x:v>
      </x:c>
      <x:c r="D6" s="25" t="str">
        <x:v>Формула: AED→AMD / AED→RUB</x:v>
      </x:c>
    </x:row>
    <x:row r="7" ht="60" customHeight="1">
      <x:c r="A7" s="25" t="str">
        <x:v>EUR→AMD</x:v>
      </x:c>
      <x:c r="B7" s="25" t="n">
        <x:v>421.58</x:v>
      </x:c>
      <x:c r="C7" s="25" t="str">
        <x:v>֏ за EUR</x:v>
      </x:c>
      <x:c r="D7" s="25" t="str">
        <x:v>Wise: EUR/AMD около 421.58 на 03.07.2026</x:v>
      </x:c>
    </x:row>
    <x:row r="8" ht="60" customHeight="1">
      <x:c r="A8" s="25" t="str">
        <x:v>Порог беспошлинно, conservative</x:v>
      </x:c>
      <x:c r="B8" s="25" t="n">
        <x:v>84316</x:v>
      </x:c>
      <x:c r="C8" s="25" t="str">
        <x:v>AMD</x:v>
      </x:c>
      <x:c r="D8" s="25" t="str">
        <x:v>Формула: 200 EUR × EUR→AMD; courier FAQ говорит 200 EUR/31kg</x:v>
      </x:c>
    </x:row>
    <x:row r="9" ht="60" customHeight="1">
      <x:c r="A9" s="25" t="str">
        <x:v>Пошлина при превышении</x:v>
      </x:c>
      <x:c r="B9" s="25" t="n">
        <x:v>0.15</x:v>
      </x:c>
      <x:c r="C9" s="25" t="str">
        <x:v>доля</x:v>
      </x:c>
      <x:c r="D9" s="25" t="str">
        <x:v>American Global Group FAQ: 15% с превышения над порогом</x:v>
      </x:c>
    </x:row>
    <x:row r="10" ht="60" customHeight="1">
      <x:c r="A10" s="25" t="str">
        <x:v>Доставка UAE→Armenia estimate</x:v>
      </x:c>
      <x:c r="B10" s="25" t="n">
        <x:v>8000</x:v>
      </x:c>
      <x:c r="C10" s="25" t="str">
        <x:v>AMD</x:v>
      </x:c>
      <x:c r="D10" s="25" t="str">
        <x:v>Грубый placeholder для телефона ~0.6–1 кг; Onex указывает расчёт по фактическому/объёмному весу, поэтому ячейку лучше редактировать</x:v>
      </x:c>
    </x:row>
    <x:row r="11" ht="60" customHeight="1">
      <x:c r="A11" s="25"/>
      <x:c r="B11" s="25"/>
      <x:c r="C11" s="25"/>
      <x:c r="D11" s="25"/>
    </x:row>
    <x:row r="12" ht="60" customHeight="1">
      <x:c r="A12" s="25" t="str">
        <x:v>Важно по таможне</x:v>
      </x:c>
      <x:c r="B12" s="25" t="str">
        <x:v>Есть конфликт источников: ILex пишет для postal goods порог 200 000 AMD/31kg, courier FAQ — 200 EUR/31kg. В расчёте использован более консервативный 200 EUR.</x:v>
      </x:c>
      <x:c r="C12" s="25"/>
      <x:c r="D12" s="25"/>
    </x:row>
    <x:row r="13" ht="60" customHeight="1">
      <x:c r="A13" s="25"/>
      <x:c r="B13" s="25"/>
      <x:c r="C13" s="25"/>
      <x:c r="D13" s="25"/>
    </x:row>
    <x:row r="14" ht="60" customHeight="1">
      <x:c r="A14" s="25" t="str">
        <x:v>Группа</x:v>
      </x:c>
      <x:c r="B14" s="25" t="str">
        <x:v>Источник</x:v>
      </x:c>
      <x:c r="C14" s="25" t="str">
        <x:v>Что использовано</x:v>
      </x:c>
      <x:c r="D14" s="25" t="str">
        <x:v>URL</x:v>
      </x:c>
    </x:row>
    <x:row r="15" ht="60" customHeight="1">
      <x:c r="A15" s="25" t="str">
        <x:v>WB</x:v>
      </x:c>
      <x:c r="B15" s="25" t="str">
        <x:v>OnePlus 15 cheaper card</x:v>
      </x:c>
      <x:c r="C15" s="25" t="str">
        <x:v>РФ/WB цена, US CPH2749, eSIM, комплект</x:v>
      </x:c>
      <x:c r="D15" s="25" t="str">
        <x:v>https://www.wildberries.ru/catalog/1093491977/detail.aspx?size=1619045324</x:v>
      </x:c>
    </x:row>
    <x:row r="16" ht="60" customHeight="1">
      <x:c r="A16" s="25" t="str">
        <x:v>WB</x:v>
      </x:c>
      <x:c r="B16" s="25" t="str">
        <x:v>OnePlus 15 reviews card</x:v>
      </x:c>
      <x:c r="C16" s="25" t="str">
        <x:v>отзывы, eSIM review, камера/комплект</x:v>
      </x:c>
      <x:c r="D16" s="25" t="str">
        <x:v>https://www.wildberries.ru/catalog/992924241/detail.aspx?size=1485739569</x:v>
      </x:c>
    </x:row>
    <x:row r="17" ht="60" customHeight="1">
      <x:c r="A17" s="25" t="str">
        <x:v>WB</x:v>
      </x:c>
      <x:c r="B17" s="25" t="str">
        <x:v>OPPO Find X9 Pro</x:v>
      </x:c>
      <x:c r="C17" s="25" t="str">
        <x:v>РФ/WB цена, камеры, батарея, eSIM, комплект</x:v>
      </x:c>
      <x:c r="D17" s="25" t="str">
        <x:v>https://www.wildberries.ru/catalog/803556843/detail.aspx</x:v>
      </x:c>
    </x:row>
    <x:row r="18" ht="60" customHeight="1">
      <x:c r="A18" s="25" t="str">
        <x:v>WB</x:v>
      </x:c>
      <x:c r="B18" s="25" t="str">
        <x:v>OPPO Find X9</x:v>
      </x:c>
      <x:c r="C18" s="25" t="str">
        <x:v>РФ/WB цена, батарея, LDAC, bands, eSIM</x:v>
      </x:c>
      <x:c r="D18" s="25" t="str">
        <x:v>https://www.wildberries.ru/catalog/803501810/detail.aspx</x:v>
      </x:c>
    </x:row>
    <x:row r="19" ht="60" customHeight="1">
      <x:c r="A19" s="25" t="str">
        <x:v>WB</x:v>
      </x:c>
      <x:c r="B19" s="25" t="str">
        <x:v>HONOR Magic8 Pro</x:v>
      </x:c>
      <x:c r="C19" s="25" t="str">
        <x:v>РФ/WB цена, отзывы, eSIM contradiction</x:v>
      </x:c>
      <x:c r="D19" s="25" t="str">
        <x:v>https://www.wildberries.ru/catalog/729522986/detail.aspx</x:v>
      </x:c>
    </x:row>
    <x:row r="20" ht="60" customHeight="1">
      <x:c r="A20" s="25" t="str">
        <x:v>Official</x:v>
      </x:c>
      <x:c r="B20" s="25" t="str">
        <x:v>OnePlus 15 specs</x:v>
      </x:c>
      <x:c r="C20" s="25" t="str">
        <x:v>SoC, battery, eSIM, codecs, USB</x:v>
      </x:c>
      <x:c r="D20" s="25" t="str">
        <x:v>https://www.oneplus.com/global/15/specs</x:v>
      </x:c>
    </x:row>
    <x:row r="21" ht="60" customHeight="1">
      <x:c r="A21" s="25" t="str">
        <x:v>Official</x:v>
      </x:c>
      <x:c r="B21" s="25" t="str">
        <x:v>OnePlus 13 specs</x:v>
      </x:c>
      <x:c r="C21" s="25" t="str">
        <x:v>eSIM, battery, camera, codecs, USB</x:v>
      </x:c>
      <x:c r="D21" s="25" t="str">
        <x:v>https://www.oneplus.com/global/13/specs</x:v>
      </x:c>
    </x:row>
    <x:row r="22" ht="60" customHeight="1">
      <x:c r="A22" s="25" t="str">
        <x:v>Official</x:v>
      </x:c>
      <x:c r="B22" s="25" t="str">
        <x:v>OPPO Find X9 Pro specs</x:v>
      </x:c>
      <x:c r="C22" s="25" t="str">
        <x:v>камеры, батарея, eSIM, codecs</x:v>
      </x:c>
      <x:c r="D22" s="25" t="str">
        <x:v>https://www.oppo.com/en/smartphones/series-find-x/find-x9-pro/specs/</x:v>
      </x:c>
    </x:row>
    <x:row r="23" ht="60" customHeight="1">
      <x:c r="A23" s="25" t="str">
        <x:v>Official</x:v>
      </x:c>
      <x:c r="B23" s="25" t="str">
        <x:v>OPPO Find X9 specs</x:v>
      </x:c>
      <x:c r="C23" s="25" t="str">
        <x:v>battery, band version risk, codecs</x:v>
      </x:c>
      <x:c r="D23" s="25" t="str">
        <x:v>https://www.oppo.com/en/smartphones/series-find-x/find-x9/specs/</x:v>
      </x:c>
    </x:row>
    <x:row r="24" ht="60" customHeight="1">
      <x:c r="A24" s="25" t="str">
        <x:v>Official</x:v>
      </x:c>
      <x:c r="B24" s="25" t="str">
        <x:v>HONOR Magic8 Pro specs</x:v>
      </x:c>
      <x:c r="C24" s="25" t="str">
        <x:v>камеры, батарея, MagicOS</x:v>
      </x:c>
      <x:c r="D24" s="25" t="str">
        <x:v>https://www.honor.com/global/phones/honor-magic8-pro/spec/</x:v>
      </x:c>
    </x:row>
    <x:row r="25" ht="60" customHeight="1">
      <x:c r="A25" s="25" t="str">
        <x:v>Official</x:v>
      </x:c>
      <x:c r="B25" s="25" t="str">
        <x:v>Samsung S25 specs</x:v>
      </x:c>
      <x:c r="C25" s="25" t="str">
        <x:v>S25+ battery/weight/camera/specs</x:v>
      </x:c>
      <x:c r="D25" s="25" t="str">
        <x:v>https://www.samsung.com/uk/smartphones/galaxy-s25/specs/</x:v>
      </x:c>
    </x:row>
    <x:row r="26" ht="60" customHeight="1">
      <x:c r="A26" s="25" t="str">
        <x:v>Official</x:v>
      </x:c>
      <x:c r="B26" s="25" t="str">
        <x:v>Samsung S26 specs</x:v>
      </x:c>
      <x:c r="C26" s="25" t="str">
        <x:v>S26+ battery/camera/region context</x:v>
      </x:c>
      <x:c r="D26" s="25" t="str">
        <x:v>https://www.samsung.com/uk/smartphones/galaxy-s26/</x:v>
      </x:c>
    </x:row>
    <x:row r="27" ht="60" customHeight="1">
      <x:c r="A27" s="25" t="str">
        <x:v>Review</x:v>
      </x:c>
      <x:c r="B27" s="25" t="str">
        <x:v>Android Central OnePlus 15 camera</x:v>
      </x:c>
      <x:c r="C27" s="25" t="str">
        <x:v>камерный риск OnePlus 15</x:v>
      </x:c>
      <x:c r="D27" s="25" t="str">
        <x:v>https://www.androidcentral.com/phones/oneplus/oneplus-15-camera-review</x:v>
      </x:c>
    </x:row>
    <x:row r="28" ht="60" customHeight="1">
      <x:c r="A28" s="25" t="str">
        <x:v>Review</x:v>
      </x:c>
      <x:c r="B28" s="25" t="str">
        <x:v>TechRadar OPPO Find X9 Pro</x:v>
      </x:c>
      <x:c r="C28" s="25" t="str">
        <x:v>камера/батарея/прошивка OPPO</x:v>
      </x:c>
      <x:c r="D28" s="25" t="str">
        <x:v>https://www.techradar.com/phones/oppo-phones/oppo-find-x9-pro-review</x:v>
      </x:c>
    </x:row>
    <x:row r="29" ht="60" customHeight="1">
      <x:c r="A29" s="25" t="str">
        <x:v>UAE</x:v>
      </x:c>
      <x:c r="B29" s="25" t="str">
        <x:v>Amazon.ae OnePlus 15</x:v>
      </x:c>
      <x:c r="C29" s="25" t="str">
        <x:v>UAE цена OP15</x:v>
      </x:c>
      <x:c r="D29" s="25" t="str">
        <x:v>https://www.amazon.ae/OnePlus-Dual-SIM-512GB-Smartphone-Infinite/dp/B0FSDPR9MD</x:v>
      </x:c>
    </x:row>
    <x:row r="30" ht="60" customHeight="1">
      <x:c r="A30" s="25" t="str">
        <x:v>UAE</x:v>
      </x:c>
      <x:c r="B30" s="25" t="str">
        <x:v>Sharaf DG OnePlus 15</x:v>
      </x:c>
      <x:c r="C30" s="25" t="str">
        <x:v>UAE цена OP15</x:v>
      </x:c>
      <x:c r="D30" s="25" t="str">
        <x:v>https://uae.sharafdg.com/product/oneplus-15-5g-512gb-16gb-ram-infinite-black-dual-sim-ai-smartphone-international-version/</x:v>
      </x:c>
    </x:row>
    <x:row r="31" ht="60" customHeight="1">
      <x:c r="A31" s="25" t="str">
        <x:v>UAE</x:v>
      </x:c>
      <x:c r="B31" s="25" t="str">
        <x:v>Amazon.ae Samsung S26+</x:v>
      </x:c>
      <x:c r="C31" s="25" t="str">
        <x:v>UAE цена S26+ 512</x:v>
      </x:c>
      <x:c r="D31" s="25" t="str">
        <x:v>https://www.amazon.ae/Samsung-Customized-Manufacturer-Extended-Warranty/dp/B0GNK4MTJS</x:v>
      </x:c>
    </x:row>
    <x:row r="32" ht="60" customHeight="1">
      <x:c r="A32" s="25" t="str">
        <x:v>UAE</x:v>
      </x:c>
      <x:c r="B32" s="25" t="str">
        <x:v>Sharaf DG Samsung S26/S26+</x:v>
      </x:c>
      <x:c r="C32" s="25" t="str">
        <x:v>UAE price context S26+</x:v>
      </x:c>
      <x:c r="D32" s="25" t="str">
        <x:v>https://uae.sharafdg.com/samsung-galaxy-s26-and-s26-plus/</x:v>
      </x:c>
    </x:row>
    <x:row r="33" ht="60" customHeight="1">
      <x:c r="A33" s="25" t="str">
        <x:v>UAE</x:v>
      </x:c>
      <x:c r="B33" s="25" t="str">
        <x:v>Samsung S25+ noon/Pricena</x:v>
      </x:c>
      <x:c r="C33" s="25" t="str">
        <x:v>UAE цена S25+ 512</x:v>
      </x:c>
      <x:c r="D33" s="25" t="str">
        <x:v>https://www.noon.com/uae-en/samsung-galaxy-s25-plus/</x:v>
      </x:c>
    </x:row>
    <x:row r="34" ht="60" customHeight="1">
      <x:c r="A34" s="25" t="str">
        <x:v>UAE</x:v>
      </x:c>
      <x:c r="B34" s="25" t="str">
        <x:v>OPPO Find X9 Pro Pricena/Noon</x:v>
      </x:c>
      <x:c r="C34" s="25" t="str">
        <x:v>UAE цена X9 Pro</x:v>
      </x:c>
      <x:c r="D34" s="25" t="str">
        <x:v>https://ae.pricena.com/en/product/oppo-find-x9-pro-price-in-dubai-uae</x:v>
      </x:c>
    </x:row>
    <x:row r="35" ht="60" customHeight="1">
      <x:c r="A35" s="25" t="str">
        <x:v>UAE</x:v>
      </x:c>
      <x:c r="B35" s="25" t="str">
        <x:v>OPPO Find X9 Pricena/Mobileinto</x:v>
      </x:c>
      <x:c r="C35" s="25" t="str">
        <x:v>UAE цена X9</x:v>
      </x:c>
      <x:c r="D35" s="25" t="str">
        <x:v>https://ae.pricena.com/en/product/oppo-find-x9-price-in-dubai-uae</x:v>
      </x:c>
    </x:row>
    <x:row r="36" ht="60" customHeight="1">
      <x:c r="A36" s="25" t="str">
        <x:v>UAE</x:v>
      </x:c>
      <x:c r="B36" s="25" t="str">
        <x:v>HONOR UAE Magic8 Pro official</x:v>
      </x:c>
      <x:c r="C36" s="25" t="str">
        <x:v>UAE цена Honor</x:v>
      </x:c>
      <x:c r="D36" s="25" t="str">
        <x:v>https://www.honor.com/ae-en/phones/honor-magic8-pro/buy/</x:v>
      </x:c>
    </x:row>
    <x:row r="37" ht="60" customHeight="1">
      <x:c r="A37" s="25" t="str">
        <x:v>UAE</x:v>
      </x:c>
      <x:c r="B37" s="25" t="str">
        <x:v>Amazon.ae HONOR Magic8 Pro</x:v>
      </x:c>
      <x:c r="C37" s="25" t="str">
        <x:v>UAE цена Honor</x:v>
      </x:c>
      <x:c r="D37" s="25" t="str">
        <x:v>https://www.amazon.ae/HONOR-Bundle-Damage-Protection-Insurance/dp/B0GCHKKJMW</x:v>
      </x:c>
    </x:row>
    <x:row r="38" ht="60" customHeight="1">
      <x:c r="A38" s="25" t="str">
        <x:v>UAE</x:v>
      </x:c>
      <x:c r="B38" s="25" t="str">
        <x:v>OnePlus 13 Amazon.ae / Pricena</x:v>
      </x:c>
      <x:c r="C38" s="25" t="str">
        <x:v>UAE цена OP13; version risk</x:v>
      </x:c>
      <x:c r="D38" s="25" t="str">
        <x:v>https://www.amazon.ae/OnePlus-13-Smarter-Storage-Version/dp/B0DQ8S77V6</x:v>
      </x:c>
    </x:row>
    <x:row r="39" ht="60" customHeight="1">
      <x:c r="A39" s="25" t="str">
        <x:v>Customs</x:v>
      </x:c>
      <x:c r="B39" s="25" t="str">
        <x:v>ILex Armenia</x:v>
      </x:c>
      <x:c r="C39" s="25" t="str">
        <x:v>альтернативный порог: postal goods 200k AMD/31kg</x:v>
      </x:c>
      <x:c r="D39" s="25" t="str">
        <x:v>https://www.ilex.am/en/archive/598-value%2C-weight-and-or-quantity-norms-for-importing-goods-for-personal-use-into-the-customs-territory-of-the-eurasian-economic-union-without-paying-customs-duties-and-taxes.html</x:v>
      </x:c>
    </x:row>
    <x:row r="40" ht="60" customHeight="1">
      <x:c r="A40" s="25" t="str">
        <x:v>Customs</x:v>
      </x:c>
      <x:c r="B40" s="25" t="str">
        <x:v>American Global Group FAQ</x:v>
      </x:c>
      <x:c r="C40" s="25" t="str">
        <x:v>200 EUR/31kg and 15% from excess</x:v>
      </x:c>
      <x:c r="D40" s="25" t="str">
        <x:v>https://americanglobalgroup.com/faq/</x:v>
      </x:c>
    </x:row>
    <x:row r="41" ht="60" customHeight="1">
      <x:c r="A41" s="25" t="str">
        <x:v>Delivery</x:v>
      </x:c>
      <x:c r="B41" s="25" t="str">
        <x:v>ONEX calculator page</x:v>
      </x:c>
      <x:c r="C41" s="25" t="str">
        <x:v>доставка зависит от actual/volumetric weight</x:v>
      </x:c>
      <x:c r="D41" s="25" t="str">
        <x:v>https://onex.am/en</x:v>
      </x:c>
    </x:row>
    <x:row r="42" ht="60" customHeight="1">
      <x:c r="A42" s="25" t="str">
        <x:v>FX</x:v>
      </x:c>
      <x:c r="B42" s="25" t="str">
        <x:v>AED/RUB exchange-rates.org</x:v>
      </x:c>
      <x:c r="C42" s="25" t="str">
        <x:v>AED/RUB July 2026</x:v>
      </x:c>
      <x:c r="D42" s="25" t="str">
        <x:v>https://www.exchange-rates.org/exchange-rate-history/aed-rub-2026</x:v>
      </x:c>
    </x:row>
    <x:row r="43" ht="60" customHeight="1">
      <x:c r="A43" s="25" t="str">
        <x:v>FX</x:v>
      </x:c>
      <x:c r="B43" s="25" t="str">
        <x:v>AED/AMD XE</x:v>
      </x:c>
      <x:c r="C43" s="25" t="str">
        <x:v>AED/AMD current mid-market</x:v>
      </x:c>
      <x:c r="D43" s="25" t="str">
        <x:v>https://www.xe.com/currencyconverter/convert/?Amount=1&amp;From=AED&amp;To=AMD</x:v>
      </x:c>
    </x:row>
    <x:row r="44" ht="60" customHeight="1">
      <x:c r="A44" s="25" t="str">
        <x:v>FX</x:v>
      </x:c>
      <x:c r="B44" s="25" t="str">
        <x:v>EUR/AMD Wise</x:v>
      </x:c>
      <x:c r="C44" s="25" t="str">
        <x:v>EUR/AMD current range</x:v>
      </x:c>
      <x:c r="D44" s="25" t="str">
        <x:v>https://wise.com/gb/currency-converter/eur-to-amd-rate/history</x:v>
      </x:c>
    </x:row>
    <x:row r="45" ht="60" customHeight="1">
      <x:c r="A45" s="25" t="str">
        <x:v>Meta</x:v>
      </x:c>
      <x:c r="B45" s="25" t="str">
        <x:v>Дата обновления</x:v>
      </x:c>
      <x:c r="C45" s="25" t="str">
        <x:v>2026-07-03, Asia/Yerevan. v5: добавлены критерии region/honesty, быстрый сценарий, multitasking, эргономика, shortcut, дизайн; цены UAE считаются landed.</x:v>
      </x:c>
      <x:c r="D45" s="25"/>
    </x:row>
  </x:sheetData>
  <x:mergeCells>
    <x:mergeCell ref="A1:D1"/>
  </x:mergeCells>
  <x:pageMargins left="0.7" right="0.7" top="0.75" bottom="0.75" header="0.3" footer="0.3"/>
</x:worksheet>
</file>